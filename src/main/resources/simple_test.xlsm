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svg" ContentType="image/svg+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drawings/drawing1.xml" ContentType="application/vnd.openxmlformats-officedocument.drawing+xml"/>
  <Override PartName="/xl/tables/table1.xml" ContentType="application/vnd.openxmlformats-officedocument.spreadsheetml.table+xml"/>
  <Override PartName="/xl/comments1.xml" ContentType="application/vnd.openxmlformats-officedocument.spreadsheetml.comments+xml"/>
  <Override PartName="/xl/threadedComments/threadedComment1.xml" ContentType="application/vnd.ms-excel.threadedcomments+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persons/person.xml" ContentType="application/vnd.ms-excel.person+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3901" codeName="{316AF4FF-6532-DD95-964C-923D217D005E}"/>
  <workbookPr codeName="ThisWorkbook"/>
  <mc:AlternateContent xmlns:mc="http://schemas.openxmlformats.org/markup-compatibility/2006">
    <mc:Choice Requires="x15">
      <x15ac:absPath xmlns:x15ac="http://schemas.microsoft.com/office/spreadsheetml/2010/11/ac" url="C:\Users\43676\Documents\GitHub\excel_RDF\etoProject\backend\eto\src\main\resources\"/>
    </mc:Choice>
  </mc:AlternateContent>
  <xr:revisionPtr revIDLastSave="0" documentId="13_ncr:1_{0D524487-A243-4771-B571-D614DAD4E47C}" xr6:coauthVersionLast="46" xr6:coauthVersionMax="46" xr10:uidLastSave="{00000000-0000-0000-0000-000000000000}"/>
  <bookViews>
    <workbookView xWindow="-110" yWindow="-110" windowWidth="19420" windowHeight="11020" xr2:uid="{00000000-000D-0000-FFFF-FFFF00000000}"/>
  </bookViews>
  <sheets>
    <sheet name="Sheet1" sheetId="1" r:id="rId1"/>
    <sheet name="Sheet2" sheetId="2" r:id="rId2"/>
  </sheet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calcChain.xml><?xml version="1.0" encoding="utf-8"?>
<calcChain xmlns="http://schemas.openxmlformats.org/spreadsheetml/2006/main">
  <c r="A3" i="2" l="1"/>
  <c r="A4" i="2"/>
  <c r="A5" i="2"/>
  <c r="A6" i="2"/>
  <c r="A7" i="2"/>
  <c r="A2" i="2"/>
  <c r="E3" i="1"/>
  <c r="E2" i="1"/>
  <c r="F4" i="1" l="1"/>
  <c r="F3" i="1" l="1"/>
  <c r="F2" i="1" l="1"/>
  <c r="M2" i="2" l="1"/>
  <c r="N2" i="2"/>
  <c r="C2" i="2"/>
  <c r="D4" i="1"/>
  <c r="F3" i="2" l="1"/>
  <c r="F4" i="2"/>
  <c r="F5" i="2"/>
  <c r="F6" i="2"/>
  <c r="F7" i="2"/>
  <c r="F2" i="2"/>
  <c r="D3" i="2" l="1"/>
  <c r="D4" i="2"/>
  <c r="D5" i="2"/>
  <c r="D6" i="2"/>
  <c r="D7" i="2"/>
  <c r="D2" i="2"/>
  <c r="C3" i="2"/>
  <c r="C4" i="2"/>
  <c r="C5" i="2"/>
  <c r="C6" i="2"/>
  <c r="C7" i="2"/>
  <c r="B3" i="2" a="1"/>
  <c r="B3" i="2"/>
  <c r="B4" i="2" a="1"/>
  <c r="B4" i="2" s="1"/>
  <c r="B5" i="2" a="1"/>
  <c r="B5" i="2" s="1"/>
  <c r="B6" i="2" a="1"/>
  <c r="B6" i="2" s="1"/>
  <c r="B7" i="2" a="1"/>
  <c r="B7" i="2" s="1"/>
  <c r="B2" i="2" a="1"/>
  <c r="B2" i="2" s="1"/>
  <c r="M2" i="1"/>
  <c r="M3" i="1"/>
  <c r="M4" i="1"/>
  <c r="M5" i="1"/>
  <c r="M6" i="1"/>
  <c r="M7" i="1"/>
  <c r="M8" i="1"/>
  <c r="D3" i="1"/>
  <c r="D5" i="1"/>
  <c r="D6" i="1"/>
  <c r="D7" i="1"/>
  <c r="D2" i="1"/>
</calcChain>
</file>

<file path=xl/comments1.xml><?xml version="1.0" encoding="utf-8"?>
<comments xmlns="http://schemas.openxmlformats.org/spreadsheetml/2006/main" xmlns:mc="http://schemas.openxmlformats.org/markup-compatibility/2006" xmlns:xr="http://schemas.microsoft.com/office/spreadsheetml/2014/revision" mc:Ignorable="xr">
  <authors>
    <author>tc={DEBB5416-7B33-4729-BC22-158E417639C5}</author>
  </authors>
  <commentList>
    <comment ref="B2" authorId="0" shapeId="0" xr:uid="{00000000-0006-0000-0000-000001000000}">
      <text>
        <t>[Threaded comment]
Your version of Excel allows you to read this threaded comment; however, any edits to it will get removed if the file is opened in a newer version of Excel. Learn more: https://go.microsoft.com/fwlink/?linkid=870924
Comment:
    Overpriced</t>
      </text>
    </comment>
  </commentList>
</comments>
</file>

<file path=xl/metadata.xml><?xml version="1.0" encoding="utf-8"?>
<metadata xmlns="http://schemas.openxmlformats.org/spreadsheetml/2006/main"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<sst xmlns="http://schemas.openxmlformats.org/spreadsheetml/2006/main" count="33" uniqueCount="29">
  <si>
    <t>Produkt</t>
  </si>
  <si>
    <t>Price</t>
  </si>
  <si>
    <t>Quantity</t>
  </si>
  <si>
    <t>Bread</t>
  </si>
  <si>
    <t>Total Value</t>
  </si>
  <si>
    <t>Cookies</t>
  </si>
  <si>
    <t>Chocolate</t>
  </si>
  <si>
    <t>Sugar</t>
  </si>
  <si>
    <t>Egg</t>
  </si>
  <si>
    <t>Ketchup</t>
  </si>
  <si>
    <t>Games</t>
  </si>
  <si>
    <t>Year Released</t>
  </si>
  <si>
    <t>Discount</t>
  </si>
  <si>
    <t>Price After</t>
  </si>
  <si>
    <t>Fifa</t>
  </si>
  <si>
    <t>Resident Evil</t>
  </si>
  <si>
    <t>Fallout</t>
  </si>
  <si>
    <t>Football Manager</t>
  </si>
  <si>
    <t>Last of Us</t>
  </si>
  <si>
    <t>GTA</t>
  </si>
  <si>
    <t>After Dawn</t>
  </si>
  <si>
    <t>Buy-Price</t>
  </si>
  <si>
    <t>Sell-Price</t>
  </si>
  <si>
    <t>Inflation</t>
  </si>
  <si>
    <t>SomeCalculation</t>
  </si>
  <si>
    <t>test</t>
  </si>
  <si>
    <t>test2</t>
  </si>
  <si>
    <t>TestIF</t>
  </si>
  <si>
    <t>a</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</si>
</sst>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
    <numFmt numFmtId="44" formatCode="_-&quot;€&quot;\ * #,##0.00_-;\-&quot;€&quot;\ * #,##0.00_-;_-&quot;€&quot;\ * &quot;-&quot;??_-;_-@_-"/>
  </numFmts>
  <fonts count="3" x14ac:knownFonts="1">
    <font>
      <sz val="11"/>
      <color theme="1"/>
      <name val="Gill Sans MT"/>
      <family val="2"/>
      <scheme val="minor"/>
    </font>
    <font>
      <sz val="11"/>
      <color theme="1"/>
      <name val="Gill Sans MT"/>
      <family val="2"/>
      <scheme val="minor"/>
    </font>
    <font>
      <b/>
      <sz val="11"/>
      <color theme="1"/>
      <name val="Gill Sans MT"/>
      <family val="2"/>
      <scheme val="minor"/>
    </font>
  </fonts>
  <fills count="2">
    <fill>
      <patternFill patternType="none"/>
    </fill>
    <fill>
      <patternFill patternType="gray125"/>
    </fill>
  </fills>
  <borders count="1">
    <border>
      <left/>
      <right/>
      <top/>
      <bottom/>
      <diagonal/>
    </border>
  </borders>
  <cellStyleXfs count="3">
    <xf numFmtId="0" fontId="0" fillId="0" borderId="0"/>
    <xf numFmtId="44" fontId="1" fillId="0" borderId="0" applyFont="0" applyFill="0" applyBorder="0" applyAlignment="0" applyProtection="0"/>
    <xf numFmtId="9" fontId="1" fillId="0" borderId="0" applyFont="0" applyFill="0" applyBorder="0" applyAlignment="0" applyProtection="0"/>
  </cellStyleXfs>
  <cellXfs count="5">
    <xf numFmtId="0" fontId="0" fillId="0" borderId="0" xfId="0"/>
    <xf numFmtId="0" fontId="2" fillId="0" borderId="0" xfId="0" applyFont="1"/>
    <xf numFmtId="44" fontId="0" fillId="0" borderId="0" xfId="1" applyFont="1"/>
    <xf numFmtId="44" fontId="0" fillId="0" borderId="0" xfId="0" applyNumberFormat="1"/>
    <xf numFmtId="9" fontId="0" fillId="0" borderId="0" xfId="2" applyFont="1"/>
  </cellXfs>
  <cellStyles count="3">
    <cellStyle name="Currency" xfId="1" builtinId="4"/>
    <cellStyle name="Normal" xfId="0" builtinId="0"/>
    <cellStyle name="Percent" xfId="2" builtinId="5"/>
  </cellStyles>
  <dxfs count="1">
    <dxf>
      <numFmt numFmtId="34" formatCode="_-&quot;€&quot;\ * #,##0.00_-;\-&quot;€&quot;\ * #,##0.00_-;_-&quot;€&quot;\ * &quot;-&quot;??_-;_-@_-"/>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calcChain" Target="calcChain.xml"/><Relationship Id="rId3" Type="http://schemas.openxmlformats.org/officeDocument/2006/relationships/theme" Target="theme/theme1.xml"/><Relationship Id="rId7" Type="http://schemas.microsoft.com/office/2017/10/relationships/person" Target="persons/person.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heetMetadata" Target="metadata.xml"/><Relationship Id="rId5" Type="http://schemas.openxmlformats.org/officeDocument/2006/relationships/sharedStrings" Target="sharedStrings.xml"/><Relationship Id="rId4" Type="http://schemas.openxmlformats.org/officeDocument/2006/relationships/styles" Target="styles.xml"/><Relationship Id="rId9" Type="http://schemas.microsoft.com/office/2006/relationships/vbaProject" Target="vbaProject.bin"/></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spPr>
        <a:noFill/>
        <a:ln>
          <a:noFill/>
        </a:ln>
        <a:effectLst/>
      </c:spPr>
      <c:txPr>
        <a:bodyPr rot="0" spcFirstLastPara="1" vertOverflow="ellipsis" vert="horz" wrap="square" anchor="ctr" anchorCtr="1"/>
        <a:lstStyle/>
        <a:p>
          <a:pPr>
            <a:defRPr sz="1600" b="1" i="0" u="none" strike="noStrike" kern="1200" spc="100" baseline="0">
              <a:solidFill>
                <a:schemeClr val="lt1">
                  <a:lumMod val="95000"/>
                </a:schemeClr>
              </a:solidFill>
              <a:effectLst>
                <a:outerShdw blurRad="50800" dist="38100" dir="5400000" algn="t" rotWithShape="0">
                  <a:prstClr val="black">
                    <a:alpha val="40000"/>
                  </a:prstClr>
                </a:outerShdw>
              </a:effectLst>
              <a:latin typeface="+mn-lt"/>
              <a:ea typeface="+mn-ea"/>
              <a:cs typeface="+mn-cs"/>
            </a:defRPr>
          </a:pPr>
          <a:endParaRPr lang="en-AT"/>
        </a:p>
      </c:txPr>
    </c:title>
    <c:autoTitleDeleted val="0"/>
    <c:plotArea>
      <c:layout/>
      <c:pieChart>
        <c:varyColors val="1"/>
        <c:ser>
          <c:idx val="2"/>
          <c:order val="2"/>
          <c:tx>
            <c:strRef>
              <c:f>Sheet1!$L$1</c:f>
              <c:strCache>
                <c:ptCount val="1"/>
                <c:pt idx="0">
                  <c:v>Discount</c:v>
                </c:pt>
              </c:strCache>
            </c:strRef>
          </c:tx>
          <c:spPr>
            <a:ln w="25400">
              <a:noFill/>
            </a:ln>
          </c:spPr>
          <c:dPt>
            <c:idx val="0"/>
            <c:bubble3D val="0"/>
            <c:spPr>
              <a:gradFill rotWithShape="1">
                <a:gsLst>
                  <a:gs pos="0">
                    <a:schemeClr val="accent1">
                      <a:tint val="94000"/>
                      <a:satMod val="103000"/>
                      <a:lumMod val="102000"/>
                    </a:schemeClr>
                  </a:gs>
                  <a:gs pos="50000">
                    <a:schemeClr val="accent1">
                      <a:shade val="100000"/>
                      <a:satMod val="110000"/>
                      <a:lumMod val="100000"/>
                    </a:schemeClr>
                  </a:gs>
                  <a:gs pos="100000">
                    <a:schemeClr val="accent1">
                      <a:shade val="78000"/>
                      <a:satMod val="120000"/>
                      <a:lumMod val="99000"/>
                    </a:schemeClr>
                  </a:gs>
                </a:gsLst>
                <a:lin ang="5400000" scaled="0"/>
              </a:gradFill>
              <a:ln w="25400">
                <a:noFill/>
              </a:ln>
              <a:effectLst>
                <a:outerShdw blurRad="38100" dist="25400" dir="5400000" algn="ctr" rotWithShape="0">
                  <a:srgbClr val="000000">
                    <a:alpha val="25000"/>
                  </a:srgbClr>
                </a:outerShdw>
              </a:effectLst>
            </c:spPr>
            <c:extLst>
              <c:ext xmlns:c16="http://schemas.microsoft.com/office/drawing/2014/chart" uri="{C3380CC4-5D6E-409C-BE32-E72D297353CC}">
                <c16:uniqueId val="{00000001-FB53-4D19-802A-A3EC8E2E4411}"/>
              </c:ext>
            </c:extLst>
          </c:dPt>
          <c:dPt>
            <c:idx val="1"/>
            <c:bubble3D val="0"/>
            <c:spPr>
              <a:gradFill rotWithShape="1">
                <a:gsLst>
                  <a:gs pos="0">
                    <a:schemeClr val="accent2">
                      <a:tint val="94000"/>
                      <a:satMod val="103000"/>
                      <a:lumMod val="102000"/>
                    </a:schemeClr>
                  </a:gs>
                  <a:gs pos="50000">
                    <a:schemeClr val="accent2">
                      <a:shade val="100000"/>
                      <a:satMod val="110000"/>
                      <a:lumMod val="100000"/>
                    </a:schemeClr>
                  </a:gs>
                  <a:gs pos="100000">
                    <a:schemeClr val="accent2">
                      <a:shade val="78000"/>
                      <a:satMod val="120000"/>
                      <a:lumMod val="99000"/>
                    </a:schemeClr>
                  </a:gs>
                </a:gsLst>
                <a:lin ang="5400000" scaled="0"/>
              </a:gradFill>
              <a:ln w="25400">
                <a:noFill/>
              </a:ln>
              <a:effectLst>
                <a:outerShdw blurRad="38100" dist="25400" dir="5400000" algn="ctr" rotWithShape="0">
                  <a:srgbClr val="000000">
                    <a:alpha val="25000"/>
                  </a:srgbClr>
                </a:outerShdw>
              </a:effectLst>
            </c:spPr>
            <c:extLst>
              <c:ext xmlns:c16="http://schemas.microsoft.com/office/drawing/2014/chart" uri="{C3380CC4-5D6E-409C-BE32-E72D297353CC}">
                <c16:uniqueId val="{00000003-FB53-4D19-802A-A3EC8E2E4411}"/>
              </c:ext>
            </c:extLst>
          </c:dPt>
          <c:dPt>
            <c:idx val="2"/>
            <c:bubble3D val="0"/>
            <c:spPr>
              <a:gradFill rotWithShape="1">
                <a:gsLst>
                  <a:gs pos="0">
                    <a:schemeClr val="accent3">
                      <a:tint val="94000"/>
                      <a:satMod val="103000"/>
                      <a:lumMod val="102000"/>
                    </a:schemeClr>
                  </a:gs>
                  <a:gs pos="50000">
                    <a:schemeClr val="accent3">
                      <a:shade val="100000"/>
                      <a:satMod val="110000"/>
                      <a:lumMod val="100000"/>
                    </a:schemeClr>
                  </a:gs>
                  <a:gs pos="100000">
                    <a:schemeClr val="accent3">
                      <a:shade val="78000"/>
                      <a:satMod val="120000"/>
                      <a:lumMod val="99000"/>
                    </a:schemeClr>
                  </a:gs>
                </a:gsLst>
                <a:lin ang="5400000" scaled="0"/>
              </a:gradFill>
              <a:ln w="25400">
                <a:noFill/>
              </a:ln>
              <a:effectLst>
                <a:outerShdw blurRad="38100" dist="25400" dir="5400000" algn="ctr" rotWithShape="0">
                  <a:srgbClr val="000000">
                    <a:alpha val="25000"/>
                  </a:srgbClr>
                </a:outerShdw>
              </a:effectLst>
            </c:spPr>
            <c:extLst>
              <c:ext xmlns:c16="http://schemas.microsoft.com/office/drawing/2014/chart" uri="{C3380CC4-5D6E-409C-BE32-E72D297353CC}">
                <c16:uniqueId val="{00000005-FB53-4D19-802A-A3EC8E2E4411}"/>
              </c:ext>
            </c:extLst>
          </c:dPt>
          <c:dPt>
            <c:idx val="3"/>
            <c:bubble3D val="0"/>
            <c:spPr>
              <a:gradFill rotWithShape="1">
                <a:gsLst>
                  <a:gs pos="0">
                    <a:schemeClr val="accent4">
                      <a:tint val="94000"/>
                      <a:satMod val="103000"/>
                      <a:lumMod val="102000"/>
                    </a:schemeClr>
                  </a:gs>
                  <a:gs pos="50000">
                    <a:schemeClr val="accent4">
                      <a:shade val="100000"/>
                      <a:satMod val="110000"/>
                      <a:lumMod val="100000"/>
                    </a:schemeClr>
                  </a:gs>
                  <a:gs pos="100000">
                    <a:schemeClr val="accent4">
                      <a:shade val="78000"/>
                      <a:satMod val="120000"/>
                      <a:lumMod val="99000"/>
                    </a:schemeClr>
                  </a:gs>
                </a:gsLst>
                <a:lin ang="5400000" scaled="0"/>
              </a:gradFill>
              <a:ln w="25400">
                <a:noFill/>
              </a:ln>
              <a:effectLst>
                <a:outerShdw blurRad="38100" dist="25400" dir="5400000" algn="ctr" rotWithShape="0">
                  <a:srgbClr val="000000">
                    <a:alpha val="25000"/>
                  </a:srgbClr>
                </a:outerShdw>
              </a:effectLst>
            </c:spPr>
            <c:extLst>
              <c:ext xmlns:c16="http://schemas.microsoft.com/office/drawing/2014/chart" uri="{C3380CC4-5D6E-409C-BE32-E72D297353CC}">
                <c16:uniqueId val="{00000007-FB53-4D19-802A-A3EC8E2E4411}"/>
              </c:ext>
            </c:extLst>
          </c:dPt>
          <c:dPt>
            <c:idx val="4"/>
            <c:bubble3D val="0"/>
            <c:spPr>
              <a:gradFill rotWithShape="1">
                <a:gsLst>
                  <a:gs pos="0">
                    <a:schemeClr val="accent5">
                      <a:tint val="94000"/>
                      <a:satMod val="103000"/>
                      <a:lumMod val="102000"/>
                    </a:schemeClr>
                  </a:gs>
                  <a:gs pos="50000">
                    <a:schemeClr val="accent5">
                      <a:shade val="100000"/>
                      <a:satMod val="110000"/>
                      <a:lumMod val="100000"/>
                    </a:schemeClr>
                  </a:gs>
                  <a:gs pos="100000">
                    <a:schemeClr val="accent5">
                      <a:shade val="78000"/>
                      <a:satMod val="120000"/>
                      <a:lumMod val="99000"/>
                    </a:schemeClr>
                  </a:gs>
                </a:gsLst>
                <a:lin ang="5400000" scaled="0"/>
              </a:gradFill>
              <a:ln w="25400">
                <a:noFill/>
              </a:ln>
              <a:effectLst>
                <a:outerShdw blurRad="38100" dist="25400" dir="5400000" algn="ctr" rotWithShape="0">
                  <a:srgbClr val="000000">
                    <a:alpha val="25000"/>
                  </a:srgbClr>
                </a:outerShdw>
              </a:effectLst>
            </c:spPr>
            <c:extLst>
              <c:ext xmlns:c16="http://schemas.microsoft.com/office/drawing/2014/chart" uri="{C3380CC4-5D6E-409C-BE32-E72D297353CC}">
                <c16:uniqueId val="{00000009-FB53-4D19-802A-A3EC8E2E4411}"/>
              </c:ext>
            </c:extLst>
          </c:dPt>
          <c:dPt>
            <c:idx val="5"/>
            <c:bubble3D val="0"/>
            <c:spPr>
              <a:gradFill rotWithShape="1">
                <a:gsLst>
                  <a:gs pos="0">
                    <a:schemeClr val="accent6">
                      <a:tint val="94000"/>
                      <a:satMod val="103000"/>
                      <a:lumMod val="102000"/>
                    </a:schemeClr>
                  </a:gs>
                  <a:gs pos="50000">
                    <a:schemeClr val="accent6">
                      <a:shade val="100000"/>
                      <a:satMod val="110000"/>
                      <a:lumMod val="100000"/>
                    </a:schemeClr>
                  </a:gs>
                  <a:gs pos="100000">
                    <a:schemeClr val="accent6">
                      <a:shade val="78000"/>
                      <a:satMod val="120000"/>
                      <a:lumMod val="99000"/>
                    </a:schemeClr>
                  </a:gs>
                </a:gsLst>
                <a:lin ang="5400000" scaled="0"/>
              </a:gradFill>
              <a:ln w="25400">
                <a:noFill/>
              </a:ln>
              <a:effectLst>
                <a:outerShdw blurRad="38100" dist="25400" dir="5400000" algn="ctr" rotWithShape="0">
                  <a:srgbClr val="000000">
                    <a:alpha val="25000"/>
                  </a:srgbClr>
                </a:outerShdw>
              </a:effectLst>
            </c:spPr>
            <c:extLst>
              <c:ext xmlns:c16="http://schemas.microsoft.com/office/drawing/2014/chart" uri="{C3380CC4-5D6E-409C-BE32-E72D297353CC}">
                <c16:uniqueId val="{0000000B-FB53-4D19-802A-A3EC8E2E4411}"/>
              </c:ext>
            </c:extLst>
          </c:dPt>
          <c:dPt>
            <c:idx val="6"/>
            <c:bubble3D val="0"/>
            <c:spPr>
              <a:gradFill rotWithShape="1">
                <a:gsLst>
                  <a:gs pos="0">
                    <a:schemeClr val="accent1">
                      <a:lumMod val="60000"/>
                      <a:tint val="94000"/>
                      <a:satMod val="103000"/>
                      <a:lumMod val="102000"/>
                    </a:schemeClr>
                  </a:gs>
                  <a:gs pos="50000">
                    <a:schemeClr val="accent1">
                      <a:lumMod val="60000"/>
                      <a:shade val="100000"/>
                      <a:satMod val="110000"/>
                      <a:lumMod val="100000"/>
                    </a:schemeClr>
                  </a:gs>
                  <a:gs pos="100000">
                    <a:schemeClr val="accent1">
                      <a:lumMod val="60000"/>
                      <a:shade val="78000"/>
                      <a:satMod val="120000"/>
                      <a:lumMod val="99000"/>
                    </a:schemeClr>
                  </a:gs>
                </a:gsLst>
                <a:lin ang="5400000" scaled="0"/>
              </a:gradFill>
              <a:ln w="25400">
                <a:noFill/>
              </a:ln>
              <a:effectLst>
                <a:outerShdw blurRad="38100" dist="25400" dir="5400000" algn="ctr" rotWithShape="0">
                  <a:srgbClr val="000000">
                    <a:alpha val="25000"/>
                  </a:srgbClr>
                </a:outerShdw>
              </a:effectLst>
            </c:spPr>
            <c:extLst>
              <c:ext xmlns:c16="http://schemas.microsoft.com/office/drawing/2014/chart" uri="{C3380CC4-5D6E-409C-BE32-E72D297353CC}">
                <c16:uniqueId val="{0000000D-FB53-4D19-802A-A3EC8E2E4411}"/>
              </c:ext>
            </c:extLst>
          </c:dPt>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AT"/>
              </a:p>
            </c:txPr>
            <c:showLegendKey val="0"/>
            <c:showVal val="1"/>
            <c:showCatName val="0"/>
            <c:showSerName val="0"/>
            <c:showPercent val="0"/>
            <c:showBubbleSize val="0"/>
            <c:showLeaderLines val="1"/>
            <c:leaderLines>
              <c:spPr>
                <a:ln w="9525">
                  <a:solidFill>
                    <a:schemeClr val="lt1">
                      <a:lumMod val="95000"/>
                      <a:alpha val="54000"/>
                    </a:schemeClr>
                  </a:solidFill>
                </a:ln>
                <a:effectLst/>
              </c:spPr>
            </c:leaderLines>
            <c:extLst>
              <c:ext xmlns:c15="http://schemas.microsoft.com/office/drawing/2012/chart" uri="{CE6537A1-D6FC-4f65-9D91-7224C49458BB}"/>
            </c:extLst>
          </c:dLbls>
          <c:cat>
            <c:strRef>
              <c:f>Sheet1!$I$2:$I$8</c:f>
              <c:strCache>
                <c:ptCount val="7"/>
                <c:pt idx="0">
                  <c:v>Fifa</c:v>
                </c:pt>
                <c:pt idx="1">
                  <c:v>Resident Evil</c:v>
                </c:pt>
                <c:pt idx="2">
                  <c:v>Fallout</c:v>
                </c:pt>
                <c:pt idx="3">
                  <c:v>Football Manager</c:v>
                </c:pt>
                <c:pt idx="4">
                  <c:v>Last of Us</c:v>
                </c:pt>
                <c:pt idx="5">
                  <c:v>GTA</c:v>
                </c:pt>
                <c:pt idx="6">
                  <c:v>After Dawn</c:v>
                </c:pt>
              </c:strCache>
            </c:strRef>
          </c:cat>
          <c:val>
            <c:numRef>
              <c:f>Sheet1!$L$2:$L$8</c:f>
              <c:numCache>
                <c:formatCode>0%</c:formatCode>
                <c:ptCount val="7"/>
                <c:pt idx="0">
                  <c:v>0.2</c:v>
                </c:pt>
                <c:pt idx="1">
                  <c:v>0.4</c:v>
                </c:pt>
                <c:pt idx="2">
                  <c:v>0.5</c:v>
                </c:pt>
                <c:pt idx="3">
                  <c:v>0.7</c:v>
                </c:pt>
                <c:pt idx="4">
                  <c:v>0.1</c:v>
                </c:pt>
                <c:pt idx="5">
                  <c:v>0.8</c:v>
                </c:pt>
                <c:pt idx="6">
                  <c:v>0.35</c:v>
                </c:pt>
              </c:numCache>
            </c:numRef>
          </c:val>
          <c:extLst>
            <c:ext xmlns:c16="http://schemas.microsoft.com/office/drawing/2014/chart" uri="{C3380CC4-5D6E-409C-BE32-E72D297353CC}">
              <c16:uniqueId val="{00000002-EF58-413A-9B45-06B63F587447}"/>
            </c:ext>
          </c:extLst>
        </c:ser>
        <c:dLbls>
          <c:showLegendKey val="0"/>
          <c:showVal val="0"/>
          <c:showCatName val="0"/>
          <c:showSerName val="0"/>
          <c:showPercent val="0"/>
          <c:showBubbleSize val="0"/>
          <c:showLeaderLines val="1"/>
        </c:dLbls>
        <c:firstSliceAng val="0"/>
        <c:extLst>
          <c:ext xmlns:c15="http://schemas.microsoft.com/office/drawing/2012/chart" uri="{02D57815-91ED-43cb-92C2-25804820EDAC}">
            <c15:filteredPieSeries>
              <c15:ser>
                <c:idx val="0"/>
                <c:order val="0"/>
                <c:tx>
                  <c:strRef>
                    <c:extLst>
                      <c:ext uri="{02D57815-91ED-43cb-92C2-25804820EDAC}">
                        <c15:formulaRef>
                          <c15:sqref>Sheet1!$J$1</c15:sqref>
                        </c15:formulaRef>
                      </c:ext>
                    </c:extLst>
                    <c:strCache>
                      <c:ptCount val="1"/>
                      <c:pt idx="0">
                        <c:v>Year Released</c:v>
                      </c:pt>
                    </c:strCache>
                  </c:strRef>
                </c:tx>
                <c:spPr>
                  <a:ln w="25400">
                    <a:noFill/>
                  </a:ln>
                </c:spPr>
                <c:dPt>
                  <c:idx val="0"/>
                  <c:bubble3D val="0"/>
                  <c:spPr>
                    <a:gradFill rotWithShape="1">
                      <a:gsLst>
                        <a:gs pos="0">
                          <a:schemeClr val="accent1">
                            <a:tint val="94000"/>
                            <a:satMod val="103000"/>
                            <a:lumMod val="102000"/>
                          </a:schemeClr>
                        </a:gs>
                        <a:gs pos="50000">
                          <a:schemeClr val="accent1">
                            <a:shade val="100000"/>
                            <a:satMod val="110000"/>
                            <a:lumMod val="100000"/>
                          </a:schemeClr>
                        </a:gs>
                        <a:gs pos="100000">
                          <a:schemeClr val="accent1">
                            <a:shade val="78000"/>
                            <a:satMod val="120000"/>
                            <a:lumMod val="99000"/>
                          </a:schemeClr>
                        </a:gs>
                      </a:gsLst>
                      <a:lin ang="5400000" scaled="0"/>
                    </a:gradFill>
                    <a:ln w="25400">
                      <a:noFill/>
                    </a:ln>
                    <a:effectLst>
                      <a:outerShdw blurRad="38100" dist="25400" dir="5400000" algn="ctr" rotWithShape="0">
                        <a:srgbClr val="000000">
                          <a:alpha val="25000"/>
                        </a:srgbClr>
                      </a:outerShdw>
                    </a:effectLst>
                  </c:spPr>
                  <c:extLst>
                    <c:ext xmlns:c16="http://schemas.microsoft.com/office/drawing/2014/chart" uri="{C3380CC4-5D6E-409C-BE32-E72D297353CC}">
                      <c16:uniqueId val="{0000000F-FB53-4D19-802A-A3EC8E2E4411}"/>
                    </c:ext>
                  </c:extLst>
                </c:dPt>
                <c:dPt>
                  <c:idx val="1"/>
                  <c:bubble3D val="0"/>
                  <c:spPr>
                    <a:gradFill rotWithShape="1">
                      <a:gsLst>
                        <a:gs pos="0">
                          <a:schemeClr val="accent2">
                            <a:tint val="94000"/>
                            <a:satMod val="103000"/>
                            <a:lumMod val="102000"/>
                          </a:schemeClr>
                        </a:gs>
                        <a:gs pos="50000">
                          <a:schemeClr val="accent2">
                            <a:shade val="100000"/>
                            <a:satMod val="110000"/>
                            <a:lumMod val="100000"/>
                          </a:schemeClr>
                        </a:gs>
                        <a:gs pos="100000">
                          <a:schemeClr val="accent2">
                            <a:shade val="78000"/>
                            <a:satMod val="120000"/>
                            <a:lumMod val="99000"/>
                          </a:schemeClr>
                        </a:gs>
                      </a:gsLst>
                      <a:lin ang="5400000" scaled="0"/>
                    </a:gradFill>
                    <a:ln w="25400">
                      <a:noFill/>
                    </a:ln>
                    <a:effectLst>
                      <a:outerShdw blurRad="38100" dist="25400" dir="5400000" algn="ctr" rotWithShape="0">
                        <a:srgbClr val="000000">
                          <a:alpha val="25000"/>
                        </a:srgbClr>
                      </a:outerShdw>
                    </a:effectLst>
                  </c:spPr>
                  <c:extLst>
                    <c:ext xmlns:c16="http://schemas.microsoft.com/office/drawing/2014/chart" uri="{C3380CC4-5D6E-409C-BE32-E72D297353CC}">
                      <c16:uniqueId val="{00000011-FB53-4D19-802A-A3EC8E2E4411}"/>
                    </c:ext>
                  </c:extLst>
                </c:dPt>
                <c:dPt>
                  <c:idx val="2"/>
                  <c:bubble3D val="0"/>
                  <c:spPr>
                    <a:gradFill rotWithShape="1">
                      <a:gsLst>
                        <a:gs pos="0">
                          <a:schemeClr val="accent3">
                            <a:tint val="94000"/>
                            <a:satMod val="103000"/>
                            <a:lumMod val="102000"/>
                          </a:schemeClr>
                        </a:gs>
                        <a:gs pos="50000">
                          <a:schemeClr val="accent3">
                            <a:shade val="100000"/>
                            <a:satMod val="110000"/>
                            <a:lumMod val="100000"/>
                          </a:schemeClr>
                        </a:gs>
                        <a:gs pos="100000">
                          <a:schemeClr val="accent3">
                            <a:shade val="78000"/>
                            <a:satMod val="120000"/>
                            <a:lumMod val="99000"/>
                          </a:schemeClr>
                        </a:gs>
                      </a:gsLst>
                      <a:lin ang="5400000" scaled="0"/>
                    </a:gradFill>
                    <a:ln w="25400">
                      <a:noFill/>
                    </a:ln>
                    <a:effectLst>
                      <a:outerShdw blurRad="38100" dist="25400" dir="5400000" algn="ctr" rotWithShape="0">
                        <a:srgbClr val="000000">
                          <a:alpha val="25000"/>
                        </a:srgbClr>
                      </a:outerShdw>
                    </a:effectLst>
                  </c:spPr>
                  <c:extLst>
                    <c:ext xmlns:c16="http://schemas.microsoft.com/office/drawing/2014/chart" uri="{C3380CC4-5D6E-409C-BE32-E72D297353CC}">
                      <c16:uniqueId val="{00000013-FB53-4D19-802A-A3EC8E2E4411}"/>
                    </c:ext>
                  </c:extLst>
                </c:dPt>
                <c:dPt>
                  <c:idx val="3"/>
                  <c:bubble3D val="0"/>
                  <c:spPr>
                    <a:gradFill rotWithShape="1">
                      <a:gsLst>
                        <a:gs pos="0">
                          <a:schemeClr val="accent4">
                            <a:tint val="94000"/>
                            <a:satMod val="103000"/>
                            <a:lumMod val="102000"/>
                          </a:schemeClr>
                        </a:gs>
                        <a:gs pos="50000">
                          <a:schemeClr val="accent4">
                            <a:shade val="100000"/>
                            <a:satMod val="110000"/>
                            <a:lumMod val="100000"/>
                          </a:schemeClr>
                        </a:gs>
                        <a:gs pos="100000">
                          <a:schemeClr val="accent4">
                            <a:shade val="78000"/>
                            <a:satMod val="120000"/>
                            <a:lumMod val="99000"/>
                          </a:schemeClr>
                        </a:gs>
                      </a:gsLst>
                      <a:lin ang="5400000" scaled="0"/>
                    </a:gradFill>
                    <a:ln w="25400">
                      <a:noFill/>
                    </a:ln>
                    <a:effectLst>
                      <a:outerShdw blurRad="38100" dist="25400" dir="5400000" algn="ctr" rotWithShape="0">
                        <a:srgbClr val="000000">
                          <a:alpha val="25000"/>
                        </a:srgbClr>
                      </a:outerShdw>
                    </a:effectLst>
                  </c:spPr>
                  <c:extLst>
                    <c:ext xmlns:c16="http://schemas.microsoft.com/office/drawing/2014/chart" uri="{C3380CC4-5D6E-409C-BE32-E72D297353CC}">
                      <c16:uniqueId val="{00000015-FB53-4D19-802A-A3EC8E2E4411}"/>
                    </c:ext>
                  </c:extLst>
                </c:dPt>
                <c:dPt>
                  <c:idx val="4"/>
                  <c:bubble3D val="0"/>
                  <c:spPr>
                    <a:gradFill rotWithShape="1">
                      <a:gsLst>
                        <a:gs pos="0">
                          <a:schemeClr val="accent5">
                            <a:tint val="94000"/>
                            <a:satMod val="103000"/>
                            <a:lumMod val="102000"/>
                          </a:schemeClr>
                        </a:gs>
                        <a:gs pos="50000">
                          <a:schemeClr val="accent5">
                            <a:shade val="100000"/>
                            <a:satMod val="110000"/>
                            <a:lumMod val="100000"/>
                          </a:schemeClr>
                        </a:gs>
                        <a:gs pos="100000">
                          <a:schemeClr val="accent5">
                            <a:shade val="78000"/>
                            <a:satMod val="120000"/>
                            <a:lumMod val="99000"/>
                          </a:schemeClr>
                        </a:gs>
                      </a:gsLst>
                      <a:lin ang="5400000" scaled="0"/>
                    </a:gradFill>
                    <a:ln w="25400">
                      <a:noFill/>
                    </a:ln>
                    <a:effectLst>
                      <a:outerShdw blurRad="38100" dist="25400" dir="5400000" algn="ctr" rotWithShape="0">
                        <a:srgbClr val="000000">
                          <a:alpha val="25000"/>
                        </a:srgbClr>
                      </a:outerShdw>
                    </a:effectLst>
                  </c:spPr>
                  <c:extLst>
                    <c:ext xmlns:c16="http://schemas.microsoft.com/office/drawing/2014/chart" uri="{C3380CC4-5D6E-409C-BE32-E72D297353CC}">
                      <c16:uniqueId val="{00000017-FB53-4D19-802A-A3EC8E2E4411}"/>
                    </c:ext>
                  </c:extLst>
                </c:dPt>
                <c:dPt>
                  <c:idx val="5"/>
                  <c:bubble3D val="0"/>
                  <c:spPr>
                    <a:gradFill rotWithShape="1">
                      <a:gsLst>
                        <a:gs pos="0">
                          <a:schemeClr val="accent6">
                            <a:tint val="94000"/>
                            <a:satMod val="103000"/>
                            <a:lumMod val="102000"/>
                          </a:schemeClr>
                        </a:gs>
                        <a:gs pos="50000">
                          <a:schemeClr val="accent6">
                            <a:shade val="100000"/>
                            <a:satMod val="110000"/>
                            <a:lumMod val="100000"/>
                          </a:schemeClr>
                        </a:gs>
                        <a:gs pos="100000">
                          <a:schemeClr val="accent6">
                            <a:shade val="78000"/>
                            <a:satMod val="120000"/>
                            <a:lumMod val="99000"/>
                          </a:schemeClr>
                        </a:gs>
                      </a:gsLst>
                      <a:lin ang="5400000" scaled="0"/>
                    </a:gradFill>
                    <a:ln w="25400">
                      <a:noFill/>
                    </a:ln>
                    <a:effectLst>
                      <a:outerShdw blurRad="38100" dist="25400" dir="5400000" algn="ctr" rotWithShape="0">
                        <a:srgbClr val="000000">
                          <a:alpha val="25000"/>
                        </a:srgbClr>
                      </a:outerShdw>
                    </a:effectLst>
                  </c:spPr>
                  <c:extLst>
                    <c:ext xmlns:c16="http://schemas.microsoft.com/office/drawing/2014/chart" uri="{C3380CC4-5D6E-409C-BE32-E72D297353CC}">
                      <c16:uniqueId val="{00000019-FB53-4D19-802A-A3EC8E2E4411}"/>
                    </c:ext>
                  </c:extLst>
                </c:dPt>
                <c:dPt>
                  <c:idx val="6"/>
                  <c:bubble3D val="0"/>
                  <c:spPr>
                    <a:gradFill rotWithShape="1">
                      <a:gsLst>
                        <a:gs pos="0">
                          <a:schemeClr val="accent1">
                            <a:lumMod val="60000"/>
                            <a:tint val="94000"/>
                            <a:satMod val="103000"/>
                            <a:lumMod val="102000"/>
                          </a:schemeClr>
                        </a:gs>
                        <a:gs pos="50000">
                          <a:schemeClr val="accent1">
                            <a:lumMod val="60000"/>
                            <a:shade val="100000"/>
                            <a:satMod val="110000"/>
                            <a:lumMod val="100000"/>
                          </a:schemeClr>
                        </a:gs>
                        <a:gs pos="100000">
                          <a:schemeClr val="accent1">
                            <a:lumMod val="60000"/>
                            <a:shade val="78000"/>
                            <a:satMod val="120000"/>
                            <a:lumMod val="99000"/>
                          </a:schemeClr>
                        </a:gs>
                      </a:gsLst>
                      <a:lin ang="5400000" scaled="0"/>
                    </a:gradFill>
                    <a:ln w="25400">
                      <a:noFill/>
                    </a:ln>
                    <a:effectLst>
                      <a:outerShdw blurRad="38100" dist="25400" dir="5400000" algn="ctr" rotWithShape="0">
                        <a:srgbClr val="000000">
                          <a:alpha val="25000"/>
                        </a:srgbClr>
                      </a:outerShdw>
                    </a:effectLst>
                  </c:spPr>
                  <c:extLst>
                    <c:ext xmlns:c16="http://schemas.microsoft.com/office/drawing/2014/chart" uri="{C3380CC4-5D6E-409C-BE32-E72D297353CC}">
                      <c16:uniqueId val="{0000001B-FB53-4D19-802A-A3EC8E2E4411}"/>
                    </c:ext>
                  </c:extLst>
                </c:dPt>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AT"/>
                    </a:p>
                  </c:txPr>
                  <c:dLblPos val="bestFit"/>
                  <c:showLegendKey val="0"/>
                  <c:showVal val="1"/>
                  <c:showCatName val="0"/>
                  <c:showSerName val="0"/>
                  <c:showPercent val="0"/>
                  <c:showBubbleSize val="0"/>
                  <c:showLeaderLines val="1"/>
                  <c:leaderLines>
                    <c:spPr>
                      <a:ln w="9525">
                        <a:solidFill>
                          <a:schemeClr val="lt1">
                            <a:lumMod val="95000"/>
                            <a:alpha val="54000"/>
                          </a:schemeClr>
                        </a:solidFill>
                      </a:ln>
                      <a:effectLst/>
                    </c:spPr>
                  </c:leaderLines>
                  <c:extLst>
                    <c:ext uri="{CE6537A1-D6FC-4f65-9D91-7224C49458BB}"/>
                  </c:extLst>
                </c:dLbls>
                <c:cat>
                  <c:strRef>
                    <c:extLst>
                      <c:ext uri="{02D57815-91ED-43cb-92C2-25804820EDAC}">
                        <c15:formulaRef>
                          <c15:sqref>Sheet1!$I$2:$I$8</c15:sqref>
                        </c15:formulaRef>
                      </c:ext>
                    </c:extLst>
                    <c:strCache>
                      <c:ptCount val="7"/>
                      <c:pt idx="0">
                        <c:v>Fifa</c:v>
                      </c:pt>
                      <c:pt idx="1">
                        <c:v>Resident Evil</c:v>
                      </c:pt>
                      <c:pt idx="2">
                        <c:v>Fallout</c:v>
                      </c:pt>
                      <c:pt idx="3">
                        <c:v>Football Manager</c:v>
                      </c:pt>
                      <c:pt idx="4">
                        <c:v>Last of Us</c:v>
                      </c:pt>
                      <c:pt idx="5">
                        <c:v>GTA</c:v>
                      </c:pt>
                      <c:pt idx="6">
                        <c:v>After Dawn</c:v>
                      </c:pt>
                    </c:strCache>
                  </c:strRef>
                </c:cat>
                <c:val>
                  <c:numRef>
                    <c:extLst>
                      <c:ext uri="{02D57815-91ED-43cb-92C2-25804820EDAC}">
                        <c15:formulaRef>
                          <c15:sqref>Sheet1!$J$2:$J$8</c15:sqref>
                        </c15:formulaRef>
                      </c:ext>
                    </c:extLst>
                    <c:numCache>
                      <c:formatCode>General</c:formatCode>
                      <c:ptCount val="7"/>
                      <c:pt idx="0">
                        <c:v>2020</c:v>
                      </c:pt>
                      <c:pt idx="1">
                        <c:v>2019</c:v>
                      </c:pt>
                      <c:pt idx="2">
                        <c:v>2018</c:v>
                      </c:pt>
                      <c:pt idx="3">
                        <c:v>2020</c:v>
                      </c:pt>
                      <c:pt idx="4">
                        <c:v>2020</c:v>
                      </c:pt>
                      <c:pt idx="5">
                        <c:v>2017</c:v>
                      </c:pt>
                      <c:pt idx="6">
                        <c:v>2018</c:v>
                      </c:pt>
                    </c:numCache>
                  </c:numRef>
                </c:val>
                <c:extLst>
                  <c:ext xmlns:c16="http://schemas.microsoft.com/office/drawing/2014/chart" uri="{C3380CC4-5D6E-409C-BE32-E72D297353CC}">
                    <c16:uniqueId val="{00000000-EF58-413A-9B45-06B63F587447}"/>
                  </c:ext>
                </c:extLst>
              </c15:ser>
            </c15:filteredPieSeries>
            <c15:filteredPieSeries>
              <c15:ser>
                <c:idx val="1"/>
                <c:order val="1"/>
                <c:tx>
                  <c:strRef>
                    <c:extLst>
                      <c:ext xmlns:c15="http://schemas.microsoft.com/office/drawing/2012/chart" uri="{02D57815-91ED-43cb-92C2-25804820EDAC}">
                        <c15:formulaRef>
                          <c15:sqref>Sheet1!$K$1</c15:sqref>
                        </c15:formulaRef>
                      </c:ext>
                    </c:extLst>
                    <c:strCache>
                      <c:ptCount val="1"/>
                      <c:pt idx="0">
                        <c:v>Price</c:v>
                      </c:pt>
                    </c:strCache>
                  </c:strRef>
                </c:tx>
                <c:spPr>
                  <a:ln w="25400">
                    <a:noFill/>
                  </a:ln>
                </c:spPr>
                <c:dPt>
                  <c:idx val="0"/>
                  <c:bubble3D val="0"/>
                  <c:spPr>
                    <a:gradFill rotWithShape="1">
                      <a:gsLst>
                        <a:gs pos="0">
                          <a:schemeClr val="accent1">
                            <a:tint val="94000"/>
                            <a:satMod val="103000"/>
                            <a:lumMod val="102000"/>
                          </a:schemeClr>
                        </a:gs>
                        <a:gs pos="50000">
                          <a:schemeClr val="accent1">
                            <a:shade val="100000"/>
                            <a:satMod val="110000"/>
                            <a:lumMod val="100000"/>
                          </a:schemeClr>
                        </a:gs>
                        <a:gs pos="100000">
                          <a:schemeClr val="accent1">
                            <a:shade val="78000"/>
                            <a:satMod val="120000"/>
                            <a:lumMod val="99000"/>
                          </a:schemeClr>
                        </a:gs>
                      </a:gsLst>
                      <a:lin ang="5400000" scaled="0"/>
                    </a:gradFill>
                    <a:ln w="25400">
                      <a:noFill/>
                    </a:ln>
                    <a:effectLst>
                      <a:outerShdw blurRad="38100" dist="25400" dir="5400000" algn="ctr" rotWithShape="0">
                        <a:srgbClr val="000000">
                          <a:alpha val="25000"/>
                        </a:srgbClr>
                      </a:outerShdw>
                    </a:effectLst>
                  </c:spPr>
                  <c:extLst xmlns:c15="http://schemas.microsoft.com/office/drawing/2012/chart">
                    <c:ext xmlns:c16="http://schemas.microsoft.com/office/drawing/2014/chart" uri="{C3380CC4-5D6E-409C-BE32-E72D297353CC}">
                      <c16:uniqueId val="{0000001D-FB53-4D19-802A-A3EC8E2E4411}"/>
                    </c:ext>
                  </c:extLst>
                </c:dPt>
                <c:dPt>
                  <c:idx val="1"/>
                  <c:bubble3D val="0"/>
                  <c:spPr>
                    <a:gradFill rotWithShape="1">
                      <a:gsLst>
                        <a:gs pos="0">
                          <a:schemeClr val="accent2">
                            <a:tint val="94000"/>
                            <a:satMod val="103000"/>
                            <a:lumMod val="102000"/>
                          </a:schemeClr>
                        </a:gs>
                        <a:gs pos="50000">
                          <a:schemeClr val="accent2">
                            <a:shade val="100000"/>
                            <a:satMod val="110000"/>
                            <a:lumMod val="100000"/>
                          </a:schemeClr>
                        </a:gs>
                        <a:gs pos="100000">
                          <a:schemeClr val="accent2">
                            <a:shade val="78000"/>
                            <a:satMod val="120000"/>
                            <a:lumMod val="99000"/>
                          </a:schemeClr>
                        </a:gs>
                      </a:gsLst>
                      <a:lin ang="5400000" scaled="0"/>
                    </a:gradFill>
                    <a:ln w="25400">
                      <a:noFill/>
                    </a:ln>
                    <a:effectLst>
                      <a:outerShdw blurRad="38100" dist="25400" dir="5400000" algn="ctr" rotWithShape="0">
                        <a:srgbClr val="000000">
                          <a:alpha val="25000"/>
                        </a:srgbClr>
                      </a:outerShdw>
                    </a:effectLst>
                  </c:spPr>
                  <c:extLst xmlns:c15="http://schemas.microsoft.com/office/drawing/2012/chart">
                    <c:ext xmlns:c16="http://schemas.microsoft.com/office/drawing/2014/chart" uri="{C3380CC4-5D6E-409C-BE32-E72D297353CC}">
                      <c16:uniqueId val="{0000001F-FB53-4D19-802A-A3EC8E2E4411}"/>
                    </c:ext>
                  </c:extLst>
                </c:dPt>
                <c:dPt>
                  <c:idx val="2"/>
                  <c:bubble3D val="0"/>
                  <c:spPr>
                    <a:gradFill rotWithShape="1">
                      <a:gsLst>
                        <a:gs pos="0">
                          <a:schemeClr val="accent3">
                            <a:tint val="94000"/>
                            <a:satMod val="103000"/>
                            <a:lumMod val="102000"/>
                          </a:schemeClr>
                        </a:gs>
                        <a:gs pos="50000">
                          <a:schemeClr val="accent3">
                            <a:shade val="100000"/>
                            <a:satMod val="110000"/>
                            <a:lumMod val="100000"/>
                          </a:schemeClr>
                        </a:gs>
                        <a:gs pos="100000">
                          <a:schemeClr val="accent3">
                            <a:shade val="78000"/>
                            <a:satMod val="120000"/>
                            <a:lumMod val="99000"/>
                          </a:schemeClr>
                        </a:gs>
                      </a:gsLst>
                      <a:lin ang="5400000" scaled="0"/>
                    </a:gradFill>
                    <a:ln w="25400">
                      <a:noFill/>
                    </a:ln>
                    <a:effectLst>
                      <a:outerShdw blurRad="38100" dist="25400" dir="5400000" algn="ctr" rotWithShape="0">
                        <a:srgbClr val="000000">
                          <a:alpha val="25000"/>
                        </a:srgbClr>
                      </a:outerShdw>
                    </a:effectLst>
                  </c:spPr>
                  <c:extLst xmlns:c15="http://schemas.microsoft.com/office/drawing/2012/chart">
                    <c:ext xmlns:c16="http://schemas.microsoft.com/office/drawing/2014/chart" uri="{C3380CC4-5D6E-409C-BE32-E72D297353CC}">
                      <c16:uniqueId val="{00000021-FB53-4D19-802A-A3EC8E2E4411}"/>
                    </c:ext>
                  </c:extLst>
                </c:dPt>
                <c:dPt>
                  <c:idx val="3"/>
                  <c:bubble3D val="0"/>
                  <c:spPr>
                    <a:gradFill rotWithShape="1">
                      <a:gsLst>
                        <a:gs pos="0">
                          <a:schemeClr val="accent4">
                            <a:tint val="94000"/>
                            <a:satMod val="103000"/>
                            <a:lumMod val="102000"/>
                          </a:schemeClr>
                        </a:gs>
                        <a:gs pos="50000">
                          <a:schemeClr val="accent4">
                            <a:shade val="100000"/>
                            <a:satMod val="110000"/>
                            <a:lumMod val="100000"/>
                          </a:schemeClr>
                        </a:gs>
                        <a:gs pos="100000">
                          <a:schemeClr val="accent4">
                            <a:shade val="78000"/>
                            <a:satMod val="120000"/>
                            <a:lumMod val="99000"/>
                          </a:schemeClr>
                        </a:gs>
                      </a:gsLst>
                      <a:lin ang="5400000" scaled="0"/>
                    </a:gradFill>
                    <a:ln w="25400">
                      <a:noFill/>
                    </a:ln>
                    <a:effectLst>
                      <a:outerShdw blurRad="38100" dist="25400" dir="5400000" algn="ctr" rotWithShape="0">
                        <a:srgbClr val="000000">
                          <a:alpha val="25000"/>
                        </a:srgbClr>
                      </a:outerShdw>
                    </a:effectLst>
                  </c:spPr>
                  <c:extLst xmlns:c15="http://schemas.microsoft.com/office/drawing/2012/chart">
                    <c:ext xmlns:c16="http://schemas.microsoft.com/office/drawing/2014/chart" uri="{C3380CC4-5D6E-409C-BE32-E72D297353CC}">
                      <c16:uniqueId val="{00000023-FB53-4D19-802A-A3EC8E2E4411}"/>
                    </c:ext>
                  </c:extLst>
                </c:dPt>
                <c:dPt>
                  <c:idx val="4"/>
                  <c:bubble3D val="0"/>
                  <c:spPr>
                    <a:gradFill rotWithShape="1">
                      <a:gsLst>
                        <a:gs pos="0">
                          <a:schemeClr val="accent5">
                            <a:tint val="94000"/>
                            <a:satMod val="103000"/>
                            <a:lumMod val="102000"/>
                          </a:schemeClr>
                        </a:gs>
                        <a:gs pos="50000">
                          <a:schemeClr val="accent5">
                            <a:shade val="100000"/>
                            <a:satMod val="110000"/>
                            <a:lumMod val="100000"/>
                          </a:schemeClr>
                        </a:gs>
                        <a:gs pos="100000">
                          <a:schemeClr val="accent5">
                            <a:shade val="78000"/>
                            <a:satMod val="120000"/>
                            <a:lumMod val="99000"/>
                          </a:schemeClr>
                        </a:gs>
                      </a:gsLst>
                      <a:lin ang="5400000" scaled="0"/>
                    </a:gradFill>
                    <a:ln w="25400">
                      <a:noFill/>
                    </a:ln>
                    <a:effectLst>
                      <a:outerShdw blurRad="38100" dist="25400" dir="5400000" algn="ctr" rotWithShape="0">
                        <a:srgbClr val="000000">
                          <a:alpha val="25000"/>
                        </a:srgbClr>
                      </a:outerShdw>
                    </a:effectLst>
                  </c:spPr>
                  <c:extLst xmlns:c15="http://schemas.microsoft.com/office/drawing/2012/chart">
                    <c:ext xmlns:c16="http://schemas.microsoft.com/office/drawing/2014/chart" uri="{C3380CC4-5D6E-409C-BE32-E72D297353CC}">
                      <c16:uniqueId val="{00000025-FB53-4D19-802A-A3EC8E2E4411}"/>
                    </c:ext>
                  </c:extLst>
                </c:dPt>
                <c:dPt>
                  <c:idx val="5"/>
                  <c:bubble3D val="0"/>
                  <c:spPr>
                    <a:gradFill rotWithShape="1">
                      <a:gsLst>
                        <a:gs pos="0">
                          <a:schemeClr val="accent6">
                            <a:tint val="94000"/>
                            <a:satMod val="103000"/>
                            <a:lumMod val="102000"/>
                          </a:schemeClr>
                        </a:gs>
                        <a:gs pos="50000">
                          <a:schemeClr val="accent6">
                            <a:shade val="100000"/>
                            <a:satMod val="110000"/>
                            <a:lumMod val="100000"/>
                          </a:schemeClr>
                        </a:gs>
                        <a:gs pos="100000">
                          <a:schemeClr val="accent6">
                            <a:shade val="78000"/>
                            <a:satMod val="120000"/>
                            <a:lumMod val="99000"/>
                          </a:schemeClr>
                        </a:gs>
                      </a:gsLst>
                      <a:lin ang="5400000" scaled="0"/>
                    </a:gradFill>
                    <a:ln w="25400">
                      <a:noFill/>
                    </a:ln>
                    <a:effectLst>
                      <a:outerShdw blurRad="38100" dist="25400" dir="5400000" algn="ctr" rotWithShape="0">
                        <a:srgbClr val="000000">
                          <a:alpha val="25000"/>
                        </a:srgbClr>
                      </a:outerShdw>
                    </a:effectLst>
                  </c:spPr>
                  <c:extLst xmlns:c15="http://schemas.microsoft.com/office/drawing/2012/chart">
                    <c:ext xmlns:c16="http://schemas.microsoft.com/office/drawing/2014/chart" uri="{C3380CC4-5D6E-409C-BE32-E72D297353CC}">
                      <c16:uniqueId val="{00000027-FB53-4D19-802A-A3EC8E2E4411}"/>
                    </c:ext>
                  </c:extLst>
                </c:dPt>
                <c:dPt>
                  <c:idx val="6"/>
                  <c:bubble3D val="0"/>
                  <c:spPr>
                    <a:gradFill rotWithShape="1">
                      <a:gsLst>
                        <a:gs pos="0">
                          <a:schemeClr val="accent1">
                            <a:lumMod val="60000"/>
                            <a:tint val="94000"/>
                            <a:satMod val="103000"/>
                            <a:lumMod val="102000"/>
                          </a:schemeClr>
                        </a:gs>
                        <a:gs pos="50000">
                          <a:schemeClr val="accent1">
                            <a:lumMod val="60000"/>
                            <a:shade val="100000"/>
                            <a:satMod val="110000"/>
                            <a:lumMod val="100000"/>
                          </a:schemeClr>
                        </a:gs>
                        <a:gs pos="100000">
                          <a:schemeClr val="accent1">
                            <a:lumMod val="60000"/>
                            <a:shade val="78000"/>
                            <a:satMod val="120000"/>
                            <a:lumMod val="99000"/>
                          </a:schemeClr>
                        </a:gs>
                      </a:gsLst>
                      <a:lin ang="5400000" scaled="0"/>
                    </a:gradFill>
                    <a:ln w="25400">
                      <a:noFill/>
                    </a:ln>
                    <a:effectLst>
                      <a:outerShdw blurRad="38100" dist="25400" dir="5400000" algn="ctr" rotWithShape="0">
                        <a:srgbClr val="000000">
                          <a:alpha val="25000"/>
                        </a:srgbClr>
                      </a:outerShdw>
                    </a:effectLst>
                  </c:spPr>
                  <c:extLst xmlns:c15="http://schemas.microsoft.com/office/drawing/2012/chart">
                    <c:ext xmlns:c16="http://schemas.microsoft.com/office/drawing/2014/chart" uri="{C3380CC4-5D6E-409C-BE32-E72D297353CC}">
                      <c16:uniqueId val="{00000029-FB53-4D19-802A-A3EC8E2E4411}"/>
                    </c:ext>
                  </c:extLst>
                </c:dPt>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AT"/>
                    </a:p>
                  </c:txPr>
                  <c:dLblPos val="bestFit"/>
                  <c:showLegendKey val="0"/>
                  <c:showVal val="1"/>
                  <c:showCatName val="0"/>
                  <c:showSerName val="0"/>
                  <c:showPercent val="0"/>
                  <c:showBubbleSize val="0"/>
                  <c:showLeaderLines val="1"/>
                  <c:leaderLines>
                    <c:spPr>
                      <a:ln w="9525">
                        <a:solidFill>
                          <a:schemeClr val="lt1">
                            <a:lumMod val="95000"/>
                            <a:alpha val="54000"/>
                          </a:schemeClr>
                        </a:solidFill>
                      </a:ln>
                      <a:effectLst/>
                    </c:spPr>
                  </c:leaderLines>
                  <c:extLst xmlns:c15="http://schemas.microsoft.com/office/drawing/2012/chart">
                    <c:ext xmlns:c15="http://schemas.microsoft.com/office/drawing/2012/chart" uri="{CE6537A1-D6FC-4f65-9D91-7224C49458BB}"/>
                  </c:extLst>
                </c:dLbls>
                <c:cat>
                  <c:strRef>
                    <c:extLst>
                      <c:ext xmlns:c15="http://schemas.microsoft.com/office/drawing/2012/chart" uri="{02D57815-91ED-43cb-92C2-25804820EDAC}">
                        <c15:formulaRef>
                          <c15:sqref>Sheet1!$I$2:$I$8</c15:sqref>
                        </c15:formulaRef>
                      </c:ext>
                    </c:extLst>
                    <c:strCache>
                      <c:ptCount val="7"/>
                      <c:pt idx="0">
                        <c:v>Fifa</c:v>
                      </c:pt>
                      <c:pt idx="1">
                        <c:v>Resident Evil</c:v>
                      </c:pt>
                      <c:pt idx="2">
                        <c:v>Fallout</c:v>
                      </c:pt>
                      <c:pt idx="3">
                        <c:v>Football Manager</c:v>
                      </c:pt>
                      <c:pt idx="4">
                        <c:v>Last of Us</c:v>
                      </c:pt>
                      <c:pt idx="5">
                        <c:v>GTA</c:v>
                      </c:pt>
                      <c:pt idx="6">
                        <c:v>After Dawn</c:v>
                      </c:pt>
                    </c:strCache>
                  </c:strRef>
                </c:cat>
                <c:val>
                  <c:numRef>
                    <c:extLst>
                      <c:ext xmlns:c15="http://schemas.microsoft.com/office/drawing/2012/chart" uri="{02D57815-91ED-43cb-92C2-25804820EDAC}">
                        <c15:formulaRef>
                          <c15:sqref>Sheet1!$K$2:$K$8</c15:sqref>
                        </c15:formulaRef>
                      </c:ext>
                    </c:extLst>
                    <c:numCache>
                      <c:formatCode>_("€"* #,##0.00_);_("€"* \(#,##0.00\);_("€"* "-"??_);_(@_)</c:formatCode>
                      <c:ptCount val="7"/>
                      <c:pt idx="0">
                        <c:v>60</c:v>
                      </c:pt>
                      <c:pt idx="1">
                        <c:v>60</c:v>
                      </c:pt>
                      <c:pt idx="2">
                        <c:v>60</c:v>
                      </c:pt>
                      <c:pt idx="3">
                        <c:v>60</c:v>
                      </c:pt>
                      <c:pt idx="4">
                        <c:v>60</c:v>
                      </c:pt>
                      <c:pt idx="5">
                        <c:v>60</c:v>
                      </c:pt>
                      <c:pt idx="6">
                        <c:v>60</c:v>
                      </c:pt>
                    </c:numCache>
                  </c:numRef>
                </c:val>
                <c:extLst xmlns:c15="http://schemas.microsoft.com/office/drawing/2012/chart">
                  <c:ext xmlns:c16="http://schemas.microsoft.com/office/drawing/2014/chart" uri="{C3380CC4-5D6E-409C-BE32-E72D297353CC}">
                    <c16:uniqueId val="{00000001-EF58-413A-9B45-06B63F587447}"/>
                  </c:ext>
                </c:extLst>
              </c15:ser>
            </c15:filteredPieSeries>
            <c15:filteredPieSeries>
              <c15:ser>
                <c:idx val="3"/>
                <c:order val="3"/>
                <c:tx>
                  <c:strRef>
                    <c:extLst>
                      <c:ext xmlns:c15="http://schemas.microsoft.com/office/drawing/2012/chart" uri="{02D57815-91ED-43cb-92C2-25804820EDAC}">
                        <c15:formulaRef>
                          <c15:sqref>Sheet1!$M$1</c15:sqref>
                        </c15:formulaRef>
                      </c:ext>
                    </c:extLst>
                    <c:strCache>
                      <c:ptCount val="1"/>
                      <c:pt idx="0">
                        <c:v>Price After</c:v>
                      </c:pt>
                    </c:strCache>
                  </c:strRef>
                </c:tx>
                <c:spPr>
                  <a:ln w="25400">
                    <a:noFill/>
                  </a:ln>
                </c:spPr>
                <c:dPt>
                  <c:idx val="0"/>
                  <c:bubble3D val="0"/>
                  <c:spPr>
                    <a:gradFill rotWithShape="1">
                      <a:gsLst>
                        <a:gs pos="0">
                          <a:schemeClr val="accent1">
                            <a:tint val="94000"/>
                            <a:satMod val="103000"/>
                            <a:lumMod val="102000"/>
                          </a:schemeClr>
                        </a:gs>
                        <a:gs pos="50000">
                          <a:schemeClr val="accent1">
                            <a:shade val="100000"/>
                            <a:satMod val="110000"/>
                            <a:lumMod val="100000"/>
                          </a:schemeClr>
                        </a:gs>
                        <a:gs pos="100000">
                          <a:schemeClr val="accent1">
                            <a:shade val="78000"/>
                            <a:satMod val="120000"/>
                            <a:lumMod val="99000"/>
                          </a:schemeClr>
                        </a:gs>
                      </a:gsLst>
                      <a:lin ang="5400000" scaled="0"/>
                    </a:gradFill>
                    <a:ln w="25400">
                      <a:noFill/>
                    </a:ln>
                    <a:effectLst>
                      <a:outerShdw blurRad="38100" dist="25400" dir="5400000" algn="ctr" rotWithShape="0">
                        <a:srgbClr val="000000">
                          <a:alpha val="25000"/>
                        </a:srgbClr>
                      </a:outerShdw>
                    </a:effectLst>
                  </c:spPr>
                  <c:extLst xmlns:c15="http://schemas.microsoft.com/office/drawing/2012/chart">
                    <c:ext xmlns:c16="http://schemas.microsoft.com/office/drawing/2014/chart" uri="{C3380CC4-5D6E-409C-BE32-E72D297353CC}">
                      <c16:uniqueId val="{0000002B-FB53-4D19-802A-A3EC8E2E4411}"/>
                    </c:ext>
                  </c:extLst>
                </c:dPt>
                <c:dPt>
                  <c:idx val="1"/>
                  <c:bubble3D val="0"/>
                  <c:spPr>
                    <a:gradFill rotWithShape="1">
                      <a:gsLst>
                        <a:gs pos="0">
                          <a:schemeClr val="accent2">
                            <a:tint val="94000"/>
                            <a:satMod val="103000"/>
                            <a:lumMod val="102000"/>
                          </a:schemeClr>
                        </a:gs>
                        <a:gs pos="50000">
                          <a:schemeClr val="accent2">
                            <a:shade val="100000"/>
                            <a:satMod val="110000"/>
                            <a:lumMod val="100000"/>
                          </a:schemeClr>
                        </a:gs>
                        <a:gs pos="100000">
                          <a:schemeClr val="accent2">
                            <a:shade val="78000"/>
                            <a:satMod val="120000"/>
                            <a:lumMod val="99000"/>
                          </a:schemeClr>
                        </a:gs>
                      </a:gsLst>
                      <a:lin ang="5400000" scaled="0"/>
                    </a:gradFill>
                    <a:ln w="25400">
                      <a:noFill/>
                    </a:ln>
                    <a:effectLst>
                      <a:outerShdw blurRad="38100" dist="25400" dir="5400000" algn="ctr" rotWithShape="0">
                        <a:srgbClr val="000000">
                          <a:alpha val="25000"/>
                        </a:srgbClr>
                      </a:outerShdw>
                    </a:effectLst>
                  </c:spPr>
                  <c:extLst xmlns:c15="http://schemas.microsoft.com/office/drawing/2012/chart">
                    <c:ext xmlns:c16="http://schemas.microsoft.com/office/drawing/2014/chart" uri="{C3380CC4-5D6E-409C-BE32-E72D297353CC}">
                      <c16:uniqueId val="{0000002D-FB53-4D19-802A-A3EC8E2E4411}"/>
                    </c:ext>
                  </c:extLst>
                </c:dPt>
                <c:dPt>
                  <c:idx val="2"/>
                  <c:bubble3D val="0"/>
                  <c:spPr>
                    <a:gradFill rotWithShape="1">
                      <a:gsLst>
                        <a:gs pos="0">
                          <a:schemeClr val="accent3">
                            <a:tint val="94000"/>
                            <a:satMod val="103000"/>
                            <a:lumMod val="102000"/>
                          </a:schemeClr>
                        </a:gs>
                        <a:gs pos="50000">
                          <a:schemeClr val="accent3">
                            <a:shade val="100000"/>
                            <a:satMod val="110000"/>
                            <a:lumMod val="100000"/>
                          </a:schemeClr>
                        </a:gs>
                        <a:gs pos="100000">
                          <a:schemeClr val="accent3">
                            <a:shade val="78000"/>
                            <a:satMod val="120000"/>
                            <a:lumMod val="99000"/>
                          </a:schemeClr>
                        </a:gs>
                      </a:gsLst>
                      <a:lin ang="5400000" scaled="0"/>
                    </a:gradFill>
                    <a:ln w="25400">
                      <a:noFill/>
                    </a:ln>
                    <a:effectLst>
                      <a:outerShdw blurRad="38100" dist="25400" dir="5400000" algn="ctr" rotWithShape="0">
                        <a:srgbClr val="000000">
                          <a:alpha val="25000"/>
                        </a:srgbClr>
                      </a:outerShdw>
                    </a:effectLst>
                  </c:spPr>
                  <c:extLst xmlns:c15="http://schemas.microsoft.com/office/drawing/2012/chart">
                    <c:ext xmlns:c16="http://schemas.microsoft.com/office/drawing/2014/chart" uri="{C3380CC4-5D6E-409C-BE32-E72D297353CC}">
                      <c16:uniqueId val="{0000002F-FB53-4D19-802A-A3EC8E2E4411}"/>
                    </c:ext>
                  </c:extLst>
                </c:dPt>
                <c:dPt>
                  <c:idx val="3"/>
                  <c:bubble3D val="0"/>
                  <c:spPr>
                    <a:gradFill rotWithShape="1">
                      <a:gsLst>
                        <a:gs pos="0">
                          <a:schemeClr val="accent4">
                            <a:tint val="94000"/>
                            <a:satMod val="103000"/>
                            <a:lumMod val="102000"/>
                          </a:schemeClr>
                        </a:gs>
                        <a:gs pos="50000">
                          <a:schemeClr val="accent4">
                            <a:shade val="100000"/>
                            <a:satMod val="110000"/>
                            <a:lumMod val="100000"/>
                          </a:schemeClr>
                        </a:gs>
                        <a:gs pos="100000">
                          <a:schemeClr val="accent4">
                            <a:shade val="78000"/>
                            <a:satMod val="120000"/>
                            <a:lumMod val="99000"/>
                          </a:schemeClr>
                        </a:gs>
                      </a:gsLst>
                      <a:lin ang="5400000" scaled="0"/>
                    </a:gradFill>
                    <a:ln w="25400">
                      <a:noFill/>
                    </a:ln>
                    <a:effectLst>
                      <a:outerShdw blurRad="38100" dist="25400" dir="5400000" algn="ctr" rotWithShape="0">
                        <a:srgbClr val="000000">
                          <a:alpha val="25000"/>
                        </a:srgbClr>
                      </a:outerShdw>
                    </a:effectLst>
                  </c:spPr>
                  <c:extLst xmlns:c15="http://schemas.microsoft.com/office/drawing/2012/chart">
                    <c:ext xmlns:c16="http://schemas.microsoft.com/office/drawing/2014/chart" uri="{C3380CC4-5D6E-409C-BE32-E72D297353CC}">
                      <c16:uniqueId val="{00000031-FB53-4D19-802A-A3EC8E2E4411}"/>
                    </c:ext>
                  </c:extLst>
                </c:dPt>
                <c:dPt>
                  <c:idx val="4"/>
                  <c:bubble3D val="0"/>
                  <c:spPr>
                    <a:gradFill rotWithShape="1">
                      <a:gsLst>
                        <a:gs pos="0">
                          <a:schemeClr val="accent5">
                            <a:tint val="94000"/>
                            <a:satMod val="103000"/>
                            <a:lumMod val="102000"/>
                          </a:schemeClr>
                        </a:gs>
                        <a:gs pos="50000">
                          <a:schemeClr val="accent5">
                            <a:shade val="100000"/>
                            <a:satMod val="110000"/>
                            <a:lumMod val="100000"/>
                          </a:schemeClr>
                        </a:gs>
                        <a:gs pos="100000">
                          <a:schemeClr val="accent5">
                            <a:shade val="78000"/>
                            <a:satMod val="120000"/>
                            <a:lumMod val="99000"/>
                          </a:schemeClr>
                        </a:gs>
                      </a:gsLst>
                      <a:lin ang="5400000" scaled="0"/>
                    </a:gradFill>
                    <a:ln w="25400">
                      <a:noFill/>
                    </a:ln>
                    <a:effectLst>
                      <a:outerShdw blurRad="38100" dist="25400" dir="5400000" algn="ctr" rotWithShape="0">
                        <a:srgbClr val="000000">
                          <a:alpha val="25000"/>
                        </a:srgbClr>
                      </a:outerShdw>
                    </a:effectLst>
                  </c:spPr>
                  <c:extLst xmlns:c15="http://schemas.microsoft.com/office/drawing/2012/chart">
                    <c:ext xmlns:c16="http://schemas.microsoft.com/office/drawing/2014/chart" uri="{C3380CC4-5D6E-409C-BE32-E72D297353CC}">
                      <c16:uniqueId val="{00000033-FB53-4D19-802A-A3EC8E2E4411}"/>
                    </c:ext>
                  </c:extLst>
                </c:dPt>
                <c:dPt>
                  <c:idx val="5"/>
                  <c:bubble3D val="0"/>
                  <c:spPr>
                    <a:gradFill rotWithShape="1">
                      <a:gsLst>
                        <a:gs pos="0">
                          <a:schemeClr val="accent6">
                            <a:tint val="94000"/>
                            <a:satMod val="103000"/>
                            <a:lumMod val="102000"/>
                          </a:schemeClr>
                        </a:gs>
                        <a:gs pos="50000">
                          <a:schemeClr val="accent6">
                            <a:shade val="100000"/>
                            <a:satMod val="110000"/>
                            <a:lumMod val="100000"/>
                          </a:schemeClr>
                        </a:gs>
                        <a:gs pos="100000">
                          <a:schemeClr val="accent6">
                            <a:shade val="78000"/>
                            <a:satMod val="120000"/>
                            <a:lumMod val="99000"/>
                          </a:schemeClr>
                        </a:gs>
                      </a:gsLst>
                      <a:lin ang="5400000" scaled="0"/>
                    </a:gradFill>
                    <a:ln w="25400">
                      <a:noFill/>
                    </a:ln>
                    <a:effectLst>
                      <a:outerShdw blurRad="38100" dist="25400" dir="5400000" algn="ctr" rotWithShape="0">
                        <a:srgbClr val="000000">
                          <a:alpha val="25000"/>
                        </a:srgbClr>
                      </a:outerShdw>
                    </a:effectLst>
                  </c:spPr>
                  <c:extLst xmlns:c15="http://schemas.microsoft.com/office/drawing/2012/chart">
                    <c:ext xmlns:c16="http://schemas.microsoft.com/office/drawing/2014/chart" uri="{C3380CC4-5D6E-409C-BE32-E72D297353CC}">
                      <c16:uniqueId val="{00000035-FB53-4D19-802A-A3EC8E2E4411}"/>
                    </c:ext>
                  </c:extLst>
                </c:dPt>
                <c:dPt>
                  <c:idx val="6"/>
                  <c:bubble3D val="0"/>
                  <c:spPr>
                    <a:gradFill rotWithShape="1">
                      <a:gsLst>
                        <a:gs pos="0">
                          <a:schemeClr val="accent1">
                            <a:lumMod val="60000"/>
                            <a:tint val="94000"/>
                            <a:satMod val="103000"/>
                            <a:lumMod val="102000"/>
                          </a:schemeClr>
                        </a:gs>
                        <a:gs pos="50000">
                          <a:schemeClr val="accent1">
                            <a:lumMod val="60000"/>
                            <a:shade val="100000"/>
                            <a:satMod val="110000"/>
                            <a:lumMod val="100000"/>
                          </a:schemeClr>
                        </a:gs>
                        <a:gs pos="100000">
                          <a:schemeClr val="accent1">
                            <a:lumMod val="60000"/>
                            <a:shade val="78000"/>
                            <a:satMod val="120000"/>
                            <a:lumMod val="99000"/>
                          </a:schemeClr>
                        </a:gs>
                      </a:gsLst>
                      <a:lin ang="5400000" scaled="0"/>
                    </a:gradFill>
                    <a:ln w="25400">
                      <a:noFill/>
                    </a:ln>
                    <a:effectLst>
                      <a:outerShdw blurRad="38100" dist="25400" dir="5400000" algn="ctr" rotWithShape="0">
                        <a:srgbClr val="000000">
                          <a:alpha val="25000"/>
                        </a:srgbClr>
                      </a:outerShdw>
                    </a:effectLst>
                  </c:spPr>
                  <c:extLst xmlns:c15="http://schemas.microsoft.com/office/drawing/2012/chart">
                    <c:ext xmlns:c16="http://schemas.microsoft.com/office/drawing/2014/chart" uri="{C3380CC4-5D6E-409C-BE32-E72D297353CC}">
                      <c16:uniqueId val="{00000037-FB53-4D19-802A-A3EC8E2E4411}"/>
                    </c:ext>
                  </c:extLst>
                </c:dPt>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AT"/>
                    </a:p>
                  </c:txPr>
                  <c:dLblPos val="bestFit"/>
                  <c:showLegendKey val="0"/>
                  <c:showVal val="1"/>
                  <c:showCatName val="0"/>
                  <c:showSerName val="0"/>
                  <c:showPercent val="0"/>
                  <c:showBubbleSize val="0"/>
                  <c:showLeaderLines val="1"/>
                  <c:leaderLines>
                    <c:spPr>
                      <a:ln w="9525">
                        <a:solidFill>
                          <a:schemeClr val="lt1">
                            <a:lumMod val="95000"/>
                            <a:alpha val="54000"/>
                          </a:schemeClr>
                        </a:solidFill>
                      </a:ln>
                      <a:effectLst/>
                    </c:spPr>
                  </c:leaderLines>
                  <c:extLst xmlns:c15="http://schemas.microsoft.com/office/drawing/2012/chart">
                    <c:ext xmlns:c15="http://schemas.microsoft.com/office/drawing/2012/chart" uri="{CE6537A1-D6FC-4f65-9D91-7224C49458BB}"/>
                  </c:extLst>
                </c:dLbls>
                <c:cat>
                  <c:strRef>
                    <c:extLst>
                      <c:ext xmlns:c15="http://schemas.microsoft.com/office/drawing/2012/chart" uri="{02D57815-91ED-43cb-92C2-25804820EDAC}">
                        <c15:formulaRef>
                          <c15:sqref>Sheet1!$I$2:$I$8</c15:sqref>
                        </c15:formulaRef>
                      </c:ext>
                    </c:extLst>
                    <c:strCache>
                      <c:ptCount val="7"/>
                      <c:pt idx="0">
                        <c:v>Fifa</c:v>
                      </c:pt>
                      <c:pt idx="1">
                        <c:v>Resident Evil</c:v>
                      </c:pt>
                      <c:pt idx="2">
                        <c:v>Fallout</c:v>
                      </c:pt>
                      <c:pt idx="3">
                        <c:v>Football Manager</c:v>
                      </c:pt>
                      <c:pt idx="4">
                        <c:v>Last of Us</c:v>
                      </c:pt>
                      <c:pt idx="5">
                        <c:v>GTA</c:v>
                      </c:pt>
                      <c:pt idx="6">
                        <c:v>After Dawn</c:v>
                      </c:pt>
                    </c:strCache>
                  </c:strRef>
                </c:cat>
                <c:val>
                  <c:numRef>
                    <c:extLst>
                      <c:ext xmlns:c15="http://schemas.microsoft.com/office/drawing/2012/chart" uri="{02D57815-91ED-43cb-92C2-25804820EDAC}">
                        <c15:formulaRef>
                          <c15:sqref>Sheet1!$M$2:$M$8</c15:sqref>
                        </c15:formulaRef>
                      </c:ext>
                    </c:extLst>
                    <c:numCache>
                      <c:formatCode>_("€"* #,##0.00_);_("€"* \(#,##0.00\);_("€"* "-"??_);_(@_)</c:formatCode>
                      <c:ptCount val="7"/>
                      <c:pt idx="0">
                        <c:v>48</c:v>
                      </c:pt>
                      <c:pt idx="1">
                        <c:v>36</c:v>
                      </c:pt>
                      <c:pt idx="2">
                        <c:v>30</c:v>
                      </c:pt>
                      <c:pt idx="3">
                        <c:v>18</c:v>
                      </c:pt>
                      <c:pt idx="4">
                        <c:v>54</c:v>
                      </c:pt>
                      <c:pt idx="5">
                        <c:v>12</c:v>
                      </c:pt>
                      <c:pt idx="6">
                        <c:v>39</c:v>
                      </c:pt>
                    </c:numCache>
                  </c:numRef>
                </c:val>
                <c:extLst xmlns:c15="http://schemas.microsoft.com/office/drawing/2012/chart">
                  <c:ext xmlns:c16="http://schemas.microsoft.com/office/drawing/2014/chart" uri="{C3380CC4-5D6E-409C-BE32-E72D297353CC}">
                    <c16:uniqueId val="{00000003-EF58-413A-9B45-06B63F587447}"/>
                  </c:ext>
                </c:extLst>
              </c15:ser>
            </c15:filteredPieSeries>
          </c:ext>
        </c:extLst>
      </c:pieChart>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AT"/>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a:ln>
      <a:noFill/>
    </a:ln>
    <a:effectLst/>
  </c:spPr>
  <c:txPr>
    <a:bodyPr/>
    <a:lstStyle/>
    <a:p>
      <a:pPr>
        <a:defRPr/>
      </a:pPr>
      <a:endParaRPr lang="en-AT"/>
    </a:p>
  </c:txPr>
  <c:printSettings>
    <c:headerFooter/>
    <c:pageMargins b="0.75" l="0.7" r="0.7" t="0.75" header="0.3" footer="0.3"/>
    <c:pageSetup/>
  </c:printSettings>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57">
  <cs:axisTitle>
    <cs:lnRef idx="0"/>
    <cs:fillRef idx="0"/>
    <cs:effectRef idx="0"/>
    <cs:fontRef idx="minor">
      <a:schemeClr val="lt1">
        <a:lumMod val="85000"/>
      </a:schemeClr>
    </cs:fontRef>
    <cs:defRPr sz="900" b="1" kern="1200" cap="all"/>
  </cs:axisTitle>
  <cs:categoryAxis>
    <cs:lnRef idx="0"/>
    <cs:fillRef idx="0"/>
    <cs:effectRef idx="0"/>
    <cs:fontRef idx="minor">
      <a:schemeClr val="lt1">
        <a:lumMod val="85000"/>
      </a:schemeClr>
    </cs:fontRef>
    <cs:spPr>
      <a:ln w="12700" cap="flat" cmpd="sng" algn="ctr">
        <a:solidFill>
          <a:schemeClr val="lt1">
            <a:lumMod val="95000"/>
            <a:alpha val="54000"/>
          </a:schemeClr>
        </a:solidFill>
        <a:round/>
      </a:ln>
    </cs:spPr>
    <cs:defRPr sz="900" kern="1200"/>
  </cs:categoryAxis>
  <cs:chartArea>
    <cs:lnRef idx="0"/>
    <cs:fillRef idx="0"/>
    <cs:effectRef idx="0"/>
    <cs:fontRef idx="minor">
      <a:schemeClr val="dk1"/>
    </cs:fontRef>
    <cs: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cs:spPr>
    <cs:defRPr sz="1000" kern="1200"/>
  </cs:chartArea>
  <cs:dataLabel>
    <cs:lnRef idx="0"/>
    <cs:fillRef idx="0"/>
    <cs:effectRef idx="0"/>
    <cs:fontRef idx="minor">
      <a:schemeClr val="lt1">
        <a:lumMod val="85000"/>
      </a:schemeClr>
    </cs:fontRef>
    <cs:defRPr sz="900" kern="1200"/>
  </cs:dataLabel>
  <cs:dataLabelCallout>
    <cs:lnRef idx="0"/>
    <cs:fillRef idx="0"/>
    <cs:effectRef idx="0"/>
    <cs:fontRef idx="minor">
      <a:schemeClr val="dk1">
        <a:lumMod val="65000"/>
        <a:lumOff val="35000"/>
      </a:schemeClr>
    </cs:fontRef>
    <cs:spPr>
      <a:solidFill>
        <a:schemeClr val="lt1"/>
      </a:solidFill>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3"/>
    <cs:fontRef idx="minor">
      <a:schemeClr val="tx1"/>
    </cs:fontRef>
  </cs:dataPoint>
  <cs:dataPoint3D>
    <cs:lnRef idx="0"/>
    <cs:fillRef idx="3">
      <cs:styleClr val="auto"/>
    </cs:fillRef>
    <cs:effectRef idx="3"/>
    <cs:fontRef idx="minor">
      <a:schemeClr val="tx1"/>
    </cs:fontRef>
  </cs:dataPoint3D>
  <cs:dataPointLine>
    <cs:lnRef idx="0">
      <cs:styleClr val="auto"/>
    </cs:lnRef>
    <cs:fillRef idx="3"/>
    <cs:effectRef idx="3"/>
    <cs:fontRef idx="minor">
      <a:schemeClr val="tx1"/>
    </cs:fontRef>
    <cs:spPr>
      <a:ln w="34925" cap="rnd">
        <a:solidFill>
          <a:schemeClr val="phClr"/>
        </a:solidFill>
        <a:round/>
      </a:ln>
    </cs:spPr>
  </cs:dataPointLine>
  <cs:dataPointMarker>
    <cs:lnRef idx="0">
      <cs:styleClr val="auto"/>
    </cs:lnRef>
    <cs:fillRef idx="3">
      <cs:styleClr val="auto"/>
    </cs:fillRef>
    <cs:effectRef idx="3"/>
    <cs:fontRef idx="minor">
      <a:schemeClr val="tx1"/>
    </cs:fontRef>
    <cs:spPr>
      <a:ln w="9525">
        <a:solidFill>
          <a:schemeClr val="phClr"/>
        </a:solidFill>
        <a:round/>
      </a:ln>
    </cs:spPr>
  </cs:dataPointMarker>
  <cs:dataPointMarkerLayout symbol="circle" size="6"/>
  <cs:dataPointWireframe>
    <cs:lnRef idx="0">
      <cs:styleClr val="auto"/>
    </cs:lnRef>
    <cs:fillRef idx="3"/>
    <cs:effectRef idx="3"/>
    <cs:fontRef idx="minor">
      <a:schemeClr val="tx1"/>
    </cs:fontRef>
    <cs:spPr>
      <a:ln w="9525" cap="rnd">
        <a:solidFill>
          <a:schemeClr val="phClr"/>
        </a:solidFill>
        <a:round/>
      </a:ln>
    </cs:spPr>
  </cs:dataPointWireframe>
  <cs:dataTable>
    <cs:lnRef idx="0"/>
    <cs:fillRef idx="0"/>
    <cs:effectRef idx="0"/>
    <cs:fontRef idx="minor">
      <a:schemeClr val="lt1">
        <a:lumMod val="85000"/>
      </a:schemeClr>
    </cs:fontRef>
    <cs:spPr>
      <a:ln w="9525">
        <a:solidFill>
          <a:schemeClr val="lt1">
            <a:lumMod val="95000"/>
            <a:alpha val="54000"/>
          </a:schemeClr>
        </a:solidFill>
      </a:ln>
    </cs:spPr>
    <cs:defRPr sz="900" kern="1200"/>
  </cs:dataTable>
  <cs:downBar>
    <cs:lnRef idx="0"/>
    <cs:fillRef idx="0"/>
    <cs:effectRef idx="0"/>
    <cs:fontRef idx="minor">
      <a:schemeClr val="tx1"/>
    </cs:fontRef>
    <cs:spPr>
      <a:solidFill>
        <a:schemeClr val="dk1">
          <a:lumMod val="75000"/>
          <a:lumOff val="25000"/>
        </a:schemeClr>
      </a:solidFill>
      <a:ln w="9525">
        <a:solidFill>
          <a:schemeClr val="lt1">
            <a:lumMod val="95000"/>
            <a:alpha val="54000"/>
          </a:schemeClr>
        </a:solidFill>
      </a:ln>
    </cs:spPr>
  </cs:downBar>
  <cs:dropLine>
    <cs:lnRef idx="0"/>
    <cs:fillRef idx="0"/>
    <cs:effectRef idx="0"/>
    <cs:fontRef idx="minor">
      <a:schemeClr val="tx1"/>
    </cs:fontRef>
    <cs:spPr>
      <a:ln w="9525">
        <a:solidFill>
          <a:schemeClr val="lt1">
            <a:lumMod val="95000"/>
            <a:alpha val="54000"/>
          </a:schemeClr>
        </a:solidFill>
        <a:prstDash val="dash"/>
      </a:ln>
    </cs:spPr>
  </cs:dropLine>
  <cs:errorBar>
    <cs:lnRef idx="0"/>
    <cs:fillRef idx="0"/>
    <cs:effectRef idx="0"/>
    <cs:fontRef idx="minor">
      <a:schemeClr val="tx1"/>
    </cs:fontRef>
    <cs:spPr>
      <a:ln w="9525" cap="flat" cmpd="sng" algn="ctr">
        <a:solidFill>
          <a:schemeClr val="lt1">
            <a:lumMod val="95000"/>
          </a:schemeClr>
        </a:solidFill>
        <a:round/>
      </a:ln>
    </cs:spPr>
  </cs:errorBar>
  <cs:floor>
    <cs:lnRef idx="0"/>
    <cs:fillRef idx="0"/>
    <cs:effectRef idx="0"/>
    <cs:fontRef idx="minor">
      <a:schemeClr val="tx1"/>
    </cs:fontRef>
  </cs:floor>
  <cs:gridlineMajor>
    <cs:lnRef idx="0"/>
    <cs:fillRef idx="0"/>
    <cs:effectRef idx="0"/>
    <cs:fontRef idx="minor">
      <a:schemeClr val="tx1"/>
    </cs:fontRef>
    <cs:spPr>
      <a:ln w="9525" cap="flat" cmpd="sng" algn="ctr">
        <a:solidFill>
          <a:schemeClr val="lt1">
            <a:lumMod val="95000"/>
            <a:alpha val="10000"/>
          </a:schemeClr>
        </a:solidFill>
        <a:round/>
      </a:ln>
    </cs:spPr>
  </cs:gridlineMajor>
  <cs:gridlineMinor>
    <cs:lnRef idx="0"/>
    <cs:fillRef idx="0"/>
    <cs:effectRef idx="0"/>
    <cs:fontRef idx="minor">
      <a:schemeClr val="tx1"/>
    </cs:fontRef>
    <cs:spPr>
      <a:ln>
        <a:solidFill>
          <a:schemeClr val="lt1">
            <a:lumMod val="95000"/>
            <a:alpha val="5000"/>
          </a:schemeClr>
        </a:solidFill>
      </a:ln>
    </cs:spPr>
  </cs:gridlineMinor>
  <cs:hiLoLine>
    <cs:lnRef idx="0"/>
    <cs:fillRef idx="0"/>
    <cs:effectRef idx="0"/>
    <cs:fontRef idx="minor">
      <a:schemeClr val="tx1"/>
    </cs:fontRef>
    <cs:spPr>
      <a:ln w="9525">
        <a:solidFill>
          <a:schemeClr val="lt1">
            <a:lumMod val="95000"/>
            <a:alpha val="54000"/>
          </a:schemeClr>
        </a:solidFill>
        <a:prstDash val="dash"/>
      </a:ln>
    </cs:spPr>
  </cs:hiLoLine>
  <cs:leaderLine>
    <cs:lnRef idx="0"/>
    <cs:fillRef idx="0"/>
    <cs:effectRef idx="0"/>
    <cs:fontRef idx="minor">
      <a:schemeClr val="tx1"/>
    </cs:fontRef>
    <cs:spPr>
      <a:ln w="9525">
        <a:solidFill>
          <a:schemeClr val="lt1">
            <a:lumMod val="95000"/>
            <a:alpha val="54000"/>
          </a:schemeClr>
        </a:solidFill>
      </a:ln>
    </cs:spPr>
  </cs:leaderLine>
  <cs:legend>
    <cs:lnRef idx="0"/>
    <cs:fillRef idx="0"/>
    <cs:effectRef idx="0"/>
    <cs:fontRef idx="minor">
      <a:schemeClr val="lt1">
        <a:lumMod val="85000"/>
      </a:schemeClr>
    </cs:fontRef>
    <cs:defRPr sz="900" kern="1200"/>
  </cs:legend>
  <cs:plotArea>
    <cs:lnRef idx="0"/>
    <cs:fillRef idx="0"/>
    <cs:effectRef idx="0"/>
    <cs:fontRef idx="minor">
      <a:schemeClr val="tx1"/>
    </cs:fontRef>
  </cs:plotArea>
  <cs:plotArea3D>
    <cs:lnRef idx="0"/>
    <cs:fillRef idx="0"/>
    <cs:effectRef idx="0"/>
    <cs:fontRef idx="minor">
      <a:schemeClr val="tx1"/>
    </cs:fontRef>
  </cs:plotArea3D>
  <cs:seriesAxis>
    <cs:lnRef idx="0"/>
    <cs:fillRef idx="0"/>
    <cs:effectRef idx="0"/>
    <cs:fontRef idx="minor">
      <a:schemeClr val="lt1">
        <a:lumMod val="85000"/>
      </a:schemeClr>
    </cs:fontRef>
    <cs:spPr>
      <a:ln w="12700" cap="flat" cmpd="sng" algn="ctr">
        <a:solidFill>
          <a:schemeClr val="lt1">
            <a:lumMod val="95000"/>
            <a:alpha val="54000"/>
          </a:schemeClr>
        </a:solidFill>
        <a:round/>
      </a:ln>
    </cs:spPr>
    <cs:defRPr sz="900" kern="1200"/>
  </cs:seriesAxis>
  <cs:seriesLine>
    <cs:lnRef idx="0"/>
    <cs:fillRef idx="0"/>
    <cs:effectRef idx="0"/>
    <cs:fontRef idx="minor">
      <a:schemeClr val="lt1"/>
    </cs:fontRef>
    <cs:spPr>
      <a:ln w="9525" cap="flat" cmpd="sng" algn="ctr">
        <a:solidFill>
          <a:schemeClr val="lt1">
            <a:lumMod val="95000"/>
            <a:alpha val="54000"/>
          </a:schemeClr>
        </a:solidFill>
        <a:round/>
      </a:ln>
    </cs:spPr>
  </cs:seriesLine>
  <cs:title>
    <cs:lnRef idx="0"/>
    <cs:fillRef idx="0"/>
    <cs:effectRef idx="0"/>
    <cs:fontRef idx="minor">
      <a:schemeClr val="lt1">
        <a:lumMod val="95000"/>
      </a:schemeClr>
    </cs:fontRef>
    <cs:defRPr sz="1600" b="1" kern="1200" spc="100" baseline="0">
      <a:effectLst>
        <a:outerShdw blurRad="50800" dist="38100" dir="5400000" algn="t" rotWithShape="0">
          <a:prstClr val="black">
            <a:alpha val="40000"/>
          </a:prstClr>
        </a:outerShdw>
      </a:effectLst>
    </cs:defRPr>
  </cs:title>
  <cs:trendline>
    <cs:lnRef idx="0">
      <cs:styleClr val="auto"/>
    </cs:lnRef>
    <cs:fillRef idx="0"/>
    <cs:effectRef idx="0"/>
    <cs:fontRef idx="minor">
      <a:schemeClr val="tx1"/>
    </cs:fontRef>
    <cs:spPr>
      <a:ln w="19050" cap="rnd">
        <a:solidFill>
          <a:schemeClr val="phClr"/>
        </a:solidFill>
      </a:ln>
    </cs:spPr>
  </cs:trendline>
  <cs:trendlineLabel>
    <cs:lnRef idx="0"/>
    <cs:fillRef idx="0"/>
    <cs:effectRef idx="0"/>
    <cs:fontRef idx="minor">
      <a:schemeClr val="lt1">
        <a:lumMod val="85000"/>
      </a:schemeClr>
    </cs:fontRef>
    <cs:defRPr sz="900" kern="1200"/>
  </cs:trendlineLabel>
  <cs:upBar>
    <cs:lnRef idx="0"/>
    <cs:fillRef idx="0"/>
    <cs:effectRef idx="0"/>
    <cs:fontRef idx="minor">
      <a:schemeClr val="tx1"/>
    </cs:fontRef>
    <cs:spPr>
      <a:solidFill>
        <a:schemeClr val="lt1"/>
      </a:solidFill>
      <a:ln w="9525">
        <a:solidFill>
          <a:schemeClr val="lt1">
            <a:lumMod val="95000"/>
            <a:alpha val="54000"/>
          </a:schemeClr>
        </a:solidFill>
      </a:ln>
    </cs:spPr>
  </cs:upBar>
  <cs:valueAxis>
    <cs:lnRef idx="0"/>
    <cs:fillRef idx="0"/>
    <cs:effectRef idx="0"/>
    <cs:fontRef idx="minor">
      <a:schemeClr val="lt1">
        <a:lumMod val="85000"/>
      </a:schemeClr>
    </cs:fontRef>
    <cs:defRPr sz="900" kern="1200"/>
  </cs:valueAxis>
  <cs:wall>
    <cs:lnRef idx="0"/>
    <cs:fillRef idx="0"/>
    <cs:effectRef idx="0"/>
    <cs:fontRef idx="minor">
      <a:schemeClr val="tx1"/>
    </cs:fontRef>
  </cs:wall>
</cs:chartStyle>
</file>

<file path=xl/drawings/_rels/drawing1.xml.rels><?xml version="1.0" encoding="UTF-8" standalone="yes"?>
<Relationships xmlns="http://schemas.openxmlformats.org/package/2006/relationships"><Relationship Id="rId3" Type="http://schemas.openxmlformats.org/officeDocument/2006/relationships/image" Target="../media/image2.svg"/><Relationship Id="rId2" Type="http://schemas.openxmlformats.org/officeDocument/2006/relationships/image" Target="../media/image1.png"/><Relationship Id="rId1" Type="http://schemas.openxmlformats.org/officeDocument/2006/relationships/chart" Target="../charts/chart1.xml"/></Relationships>
</file>

<file path=xl/drawings/drawing1.xml><?xml version="1.0" encoding="utf-8"?>
<xdr:wsDr xmlns:xdr="http://schemas.openxmlformats.org/drawingml/2006/spreadsheetDrawing" xmlns:a="http://schemas.openxmlformats.org/drawingml/2006/main">
  <xdr:twoCellAnchor>
    <xdr:from>
      <xdr:col>8</xdr:col>
      <xdr:colOff>219075</xdr:colOff>
      <xdr:row>9</xdr:row>
      <xdr:rowOff>19050</xdr:rowOff>
    </xdr:from>
    <xdr:to>
      <xdr:col>12</xdr:col>
      <xdr:colOff>1108075</xdr:colOff>
      <xdr:row>22</xdr:row>
      <xdr:rowOff>38100</xdr:rowOff>
    </xdr:to>
    <xdr:graphicFrame macro="">
      <xdr:nvGraphicFramePr>
        <xdr:cNvPr id="3" name="Chart 2">
          <a:extLst>
            <a:ext uri="{FF2B5EF4-FFF2-40B4-BE49-F238E27FC236}">
              <a16:creationId xmlns:a16="http://schemas.microsoft.com/office/drawing/2014/main" id="{65F12E1F-C113-458B-A444-426BEE3B0779}"/>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0</xdr:col>
      <xdr:colOff>76200</xdr:colOff>
      <xdr:row>9</xdr:row>
      <xdr:rowOff>139700</xdr:rowOff>
    </xdr:from>
    <xdr:to>
      <xdr:col>7</xdr:col>
      <xdr:colOff>38100</xdr:colOff>
      <xdr:row>15</xdr:row>
      <xdr:rowOff>38100</xdr:rowOff>
    </xdr:to>
    <xdr:sp macro="" textlink="">
      <xdr:nvSpPr>
        <xdr:cNvPr id="4" name="TextBox 3">
          <a:extLst>
            <a:ext uri="{FF2B5EF4-FFF2-40B4-BE49-F238E27FC236}">
              <a16:creationId xmlns:a16="http://schemas.microsoft.com/office/drawing/2014/main" id="{89CEA98A-A0E5-4D83-BE91-5F3B56B02E94}"/>
            </a:ext>
          </a:extLst>
        </xdr:cNvPr>
        <xdr:cNvSpPr txBox="1"/>
      </xdr:nvSpPr>
      <xdr:spPr>
        <a:xfrm>
          <a:off x="76200" y="2025650"/>
          <a:ext cx="5314950" cy="1155700"/>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a:t>"Lorem ipsum dolor sit amet, consectetur adipiscing elit, sed do eiusmod tempor incididunt ut labore et dolore magna aliqua. Ut enim ad minim veniam, quis nostrud exercitation ullamco laboris nisi ut aliquip ex ea commodo consequat. Duis aute irure dolor in reprehenderit in voluptate velit esse cillum dolore eu fugiat nulla pariatur. Excepteur sint occaecat cupidatat non proident, sunt in culpa qui officia deserunt mollit anim id est laborum."</a:t>
          </a:r>
          <a:endParaRPr lang="en-AT" sz="1100"/>
        </a:p>
      </xdr:txBody>
    </xdr:sp>
    <xdr:clientData/>
  </xdr:twoCellAnchor>
  <xdr:twoCellAnchor editAs="oneCell">
    <xdr:from>
      <xdr:col>2</xdr:col>
      <xdr:colOff>419100</xdr:colOff>
      <xdr:row>16</xdr:row>
      <xdr:rowOff>146050</xdr:rowOff>
    </xdr:from>
    <xdr:to>
      <xdr:col>3</xdr:col>
      <xdr:colOff>571500</xdr:colOff>
      <xdr:row>21</xdr:row>
      <xdr:rowOff>12700</xdr:rowOff>
    </xdr:to>
    <xdr:pic>
      <xdr:nvPicPr>
        <xdr:cNvPr id="9" name="Graphic 8" descr="Airplane">
          <a:extLst>
            <a:ext uri="{FF2B5EF4-FFF2-40B4-BE49-F238E27FC236}">
              <a16:creationId xmlns:a16="http://schemas.microsoft.com/office/drawing/2014/main" id="{468AE27C-D3A7-49CA-B546-B2922696ED17}"/>
            </a:ext>
          </a:extLst>
        </xdr:cNvPr>
        <xdr:cNvPicPr>
          <a:picLocks noChangeAspect="1"/>
        </xdr:cNvPicPr>
      </xdr:nvPicPr>
      <xdr:blipFill>
        <a:blip xmlns:r="http://schemas.openxmlformats.org/officeDocument/2006/relationships" r:embed="rId2">
          <a:extLst>
            <a:ext uri="{28A0092B-C50C-407E-A947-70E740481C1C}">
              <a14:useLocalDpi xmlns:a14="http://schemas.microsoft.com/office/drawing/2010/main" val="0"/>
            </a:ext>
            <a:ext uri="{96DAC541-7B7A-43D3-8B79-37D633B846F1}">
              <asvg:svgBlip xmlns:asvg="http://schemas.microsoft.com/office/drawing/2016/SVG/main" r:embed="rId3"/>
            </a:ext>
          </a:extLst>
        </a:blip>
        <a:stretch>
          <a:fillRect/>
        </a:stretch>
      </xdr:blipFill>
      <xdr:spPr>
        <a:xfrm>
          <a:off x="1841500" y="3498850"/>
          <a:ext cx="914400" cy="914400"/>
        </a:xfrm>
        <a:prstGeom prst="rect">
          <a:avLst/>
        </a:prstGeom>
      </xdr:spPr>
    </xdr:pic>
    <xdr:clientData/>
  </xdr:twoCellAnchor>
</xdr:wsDr>
</file>

<file path=xl/persons/person.xml><?xml version="1.0" encoding="utf-8"?>
<personList xmlns="http://schemas.microsoft.com/office/spreadsheetml/2018/threadedcomments" xmlns:x="http://schemas.openxmlformats.org/spreadsheetml/2006/main">
  <person displayName="tevixe" id="{282D547A-93FD-4E14-8FDF-798DABA0B97C}" userId="tevixe" providerId="None"/>
</personList>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00000000-000C-0000-FFFF-FFFF00000000}" name="Table1" displayName="Table1" ref="I1:M8" totalsRowShown="0">
  <autoFilter ref="I1:M8" xr:uid="{00000000-0009-0000-0100-000001000000}"/>
  <tableColumns count="5">
    <tableColumn id="1" xr3:uid="{00000000-0010-0000-0000-000001000000}" name="Games"/>
    <tableColumn id="2" xr3:uid="{00000000-0010-0000-0000-000002000000}" name="Year Released"/>
    <tableColumn id="3" xr3:uid="{00000000-0010-0000-0000-000003000000}" name="Price"/>
    <tableColumn id="4" xr3:uid="{00000000-0010-0000-0000-000004000000}" name="Discount"/>
    <tableColumn id="5" xr3:uid="{00000000-0010-0000-0000-000005000000}" name="Price After" dataDxfId="0">
      <calculatedColumnFormula>K2-(K2*(L2*100/100))</calculatedColumnFormula>
    </tableColumn>
  </tableColumns>
  <tableStyleInfo name="TableStyleLight16" showFirstColumn="0" showLastColumn="0" showRowStripes="1" showColumnStripes="0"/>
</table>
</file>

<file path=xl/theme/theme1.xml><?xml version="1.0" encoding="utf-8"?>
<a:theme xmlns:a="http://schemas.openxmlformats.org/drawingml/2006/main" name="Badge">
  <a:themeElements>
    <a:clrScheme name="Badge">
      <a:dk1>
        <a:sysClr val="windowText" lastClr="000000"/>
      </a:dk1>
      <a:lt1>
        <a:sysClr val="window" lastClr="FFFFFF"/>
      </a:lt1>
      <a:dk2>
        <a:srgbClr val="2A1A00"/>
      </a:dk2>
      <a:lt2>
        <a:srgbClr val="F3F3F2"/>
      </a:lt2>
      <a:accent1>
        <a:srgbClr val="F8B323"/>
      </a:accent1>
      <a:accent2>
        <a:srgbClr val="656A59"/>
      </a:accent2>
      <a:accent3>
        <a:srgbClr val="46B2B5"/>
      </a:accent3>
      <a:accent4>
        <a:srgbClr val="8CAA7E"/>
      </a:accent4>
      <a:accent5>
        <a:srgbClr val="D36F68"/>
      </a:accent5>
      <a:accent6>
        <a:srgbClr val="826276"/>
      </a:accent6>
      <a:hlink>
        <a:srgbClr val="46B2B5"/>
      </a:hlink>
      <a:folHlink>
        <a:srgbClr val="A46694"/>
      </a:folHlink>
    </a:clrScheme>
    <a:fontScheme name="Badge">
      <a:majorFont>
        <a:latin typeface="Impact" panose="020B0806030902050204"/>
        <a:ea typeface=""/>
        <a:cs typeface=""/>
        <a:font script="Jpan" typeface="メイリオ"/>
        <a:font script="Hang" typeface="맑은 고딕"/>
        <a:font script="Hans" typeface="宋体"/>
        <a:font script="Hant" typeface="新細明體"/>
        <a:font script="Arab" typeface="Arial"/>
        <a:font script="Hebr" typeface="Arial"/>
        <a:font script="Thai" typeface="Cordia New"/>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ajorFont>
      <a:minorFont>
        <a:latin typeface="Gill Sans MT" panose="020B0502020104020203"/>
        <a:ea typeface=""/>
        <a:cs typeface=""/>
        <a:font script="Grek" typeface="Corbel"/>
        <a:font script="Cyrl" typeface="Corbel"/>
        <a:font script="Jpan" typeface="メイリオ"/>
        <a:font script="Hang" typeface="휴먼매직체"/>
        <a:font script="Hans" typeface="华文中宋"/>
        <a:font script="Hant" typeface="微軟正黑體"/>
        <a:font script="Arab" typeface="Majalla UI"/>
        <a:font script="Hebr" typeface="Arial"/>
        <a:font script="Thai" typeface="Cordia New"/>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ahoma"/>
        <a:font script="Uigh" typeface="Microsoft Uighur"/>
        <a:font script="Geor" typeface="Sylfaen"/>
      </a:minorFont>
    </a:fontScheme>
    <a:fmtScheme name="Badge">
      <a:fillStyleLst>
        <a:solidFill>
          <a:schemeClr val="phClr"/>
        </a:solidFill>
        <a:gradFill rotWithShape="1">
          <a:gsLst>
            <a:gs pos="0">
              <a:schemeClr val="phClr">
                <a:tint val="67000"/>
                <a:satMod val="105000"/>
                <a:lumMod val="110000"/>
              </a:schemeClr>
            </a:gs>
            <a:gs pos="50000">
              <a:schemeClr val="phClr">
                <a:tint val="73000"/>
                <a:satMod val="103000"/>
                <a:lumMod val="105000"/>
              </a:schemeClr>
            </a:gs>
            <a:gs pos="100000">
              <a:schemeClr val="phClr">
                <a:tint val="81000"/>
                <a:satMod val="109000"/>
                <a:lumMod val="105000"/>
              </a:schemeClr>
            </a:gs>
          </a:gsLst>
          <a:lin ang="5400000" scaled="0"/>
        </a:gradFill>
        <a:gradFill rotWithShape="1">
          <a:gsLst>
            <a:gs pos="0">
              <a:schemeClr val="phClr">
                <a:tint val="94000"/>
                <a:satMod val="103000"/>
                <a:lumMod val="102000"/>
              </a:schemeClr>
            </a:gs>
            <a:gs pos="50000">
              <a:schemeClr val="phClr">
                <a:shade val="100000"/>
                <a:satMod val="110000"/>
                <a:lumMod val="100000"/>
              </a:schemeClr>
            </a:gs>
            <a:gs pos="100000">
              <a:schemeClr val="phClr">
                <a:shade val="78000"/>
                <a:satMod val="120000"/>
                <a:lumMod val="99000"/>
              </a:schemeClr>
            </a:gs>
          </a:gsLst>
          <a:lin ang="5400000" scaled="0"/>
        </a:gradFill>
      </a:fillStyleLst>
      <a:lnStyleLst>
        <a:ln w="6350" cap="flat" cmpd="sng" algn="in">
          <a:solidFill>
            <a:schemeClr val="phClr"/>
          </a:solidFill>
          <a:prstDash val="solid"/>
        </a:ln>
        <a:ln w="12700" cap="flat" cmpd="sng" algn="in">
          <a:solidFill>
            <a:schemeClr val="phClr"/>
          </a:solidFill>
          <a:prstDash val="solid"/>
        </a:ln>
        <a:ln w="50800" cap="flat" cmpd="sng" algn="in">
          <a:solidFill>
            <a:schemeClr val="phClr"/>
          </a:solidFill>
          <a:prstDash val="solid"/>
        </a:ln>
      </a:lnStyleLst>
      <a:effectStyleLst>
        <a:effectStyle>
          <a:effectLst/>
        </a:effectStyle>
        <a:effectStyle>
          <a:effectLst/>
        </a:effectStyle>
        <a:effectStyle>
          <a:effectLst>
            <a:outerShdw blurRad="38100" dist="25400" dir="5400000" algn="ctr" rotWithShape="0">
              <a:srgbClr val="000000">
                <a:alpha val="25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hade val="98000"/>
                <a:satMod val="150000"/>
                <a:lumMod val="102000"/>
              </a:schemeClr>
            </a:gs>
            <a:gs pos="50000">
              <a:schemeClr val="phClr">
                <a:tint val="98000"/>
                <a:shade val="90000"/>
                <a:satMod val="13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Badge" id="{71A07785-5930-41D4-9A83-E23602B48E98}" vid="{771EA782-DFA6-45B1-AEA3-661F1715B310}"/>
    </a:ext>
  </a:extLst>
</a:theme>
</file>

<file path=xl/threadedComments/threadedComment1.xml><?xml version="1.0" encoding="utf-8"?>
<ThreadedComments xmlns="http://schemas.microsoft.com/office/spreadsheetml/2018/threadedcomments" xmlns:x="http://schemas.openxmlformats.org/spreadsheetml/2006/main">
  <threadedComment ref="B2" dT="2020-10-01T12:46:32.37" personId="{282D547A-93FD-4E14-8FDF-798DABA0B97C}" id="{DEBB5416-7B33-4729-BC22-158E417639C5}">
    <text>Overpriced</text>
  </threadedComment>
</ThreadedComments>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6" Type="http://schemas.microsoft.com/office/2017/10/relationships/threadedComment" Target="../threadedComments/threadedComment1.xml"/><Relationship Id="rId5" Type="http://schemas.openxmlformats.org/officeDocument/2006/relationships/comments" Target="../comments1.xml"/><Relationship Id="rId4" Type="http://schemas.openxmlformats.org/officeDocument/2006/relationships/table" Target="../tables/table1.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dimension ref="A1:AAB87"/>
  <sheetViews>
    <sheetView tabSelected="1" workbookViewId="0">
      <selection activeCell="A2" sqref="A2"/>
    </sheetView>
  </sheetViews>
  <sheetFormatPr defaultRowHeight="16.5" x14ac:dyDescent="0.5"/>
  <cols>
    <col min="1" max="1" width="11.6328125" customWidth="1"/>
    <col min="3" max="3" width="10.90625" customWidth="1"/>
    <col min="4" max="4" width="15.1796875" customWidth="1"/>
    <col min="5" max="6" width="10.7265625" bestFit="1" customWidth="1"/>
    <col min="9" max="9" width="16.1796875" customWidth="1"/>
    <col min="10" max="10" width="16" customWidth="1"/>
    <col min="11" max="12" width="10.26953125" customWidth="1"/>
    <col min="13" max="13" width="16.54296875" customWidth="1"/>
  </cols>
  <sheetData>
    <row r="1" spans="1:704" x14ac:dyDescent="0.5">
      <c r="A1" s="1" t="s">
        <v>0</v>
      </c>
      <c r="B1" s="1" t="s">
        <v>1</v>
      </c>
      <c r="C1" s="1" t="s">
        <v>2</v>
      </c>
      <c r="D1" s="1" t="s">
        <v>4</v>
      </c>
      <c r="F1" s="1" t="s">
        <v>27</v>
      </c>
      <c r="I1" t="s">
        <v>10</v>
      </c>
      <c r="J1" t="s">
        <v>11</v>
      </c>
      <c r="K1" t="s">
        <v>1</v>
      </c>
      <c r="L1" s="4" t="s">
        <v>12</v>
      </c>
      <c r="M1" t="s">
        <v>13</v>
      </c>
      <c r="AAB1" t="s">
        <v>28</v>
      </c>
    </row>
    <row r="2" spans="1:704" x14ac:dyDescent="0.5">
      <c r="A2" t="s">
        <v>3</v>
      </c>
      <c r="B2" s="2">
        <v>5</v>
      </c>
      <c r="C2">
        <v>1100</v>
      </c>
      <c r="D2" s="3">
        <f>SUM(B2:C2)</f>
        <v>1105</v>
      </c>
      <c r="E2" s="3">
        <f>SUM(B2:B4) + SUM(C2:C4)</f>
        <v>1366</v>
      </c>
      <c r="F2">
        <f>IF(C3&gt;C4,IF(C2&gt;C4,C2,C4),IF(C3 &gt;C4, IF(C2 &gt;C3, C2,C3),C4))</f>
        <v>1100</v>
      </c>
      <c r="I2" t="s">
        <v>14</v>
      </c>
      <c r="J2">
        <v>2020</v>
      </c>
      <c r="K2" s="2">
        <v>60</v>
      </c>
      <c r="L2" s="4">
        <v>0.2</v>
      </c>
      <c r="M2" s="3">
        <f t="shared" ref="M2:M8" si="0">K2-(K2*(L2*100/100))</f>
        <v>48</v>
      </c>
    </row>
    <row r="3" spans="1:704" x14ac:dyDescent="0.5">
      <c r="A3" t="s">
        <v>5</v>
      </c>
      <c r="B3" s="2">
        <v>7</v>
      </c>
      <c r="C3">
        <v>220</v>
      </c>
      <c r="D3" s="3">
        <f t="shared" ref="D3:D7" si="1">SUM(B3:C3)</f>
        <v>227</v>
      </c>
      <c r="E3" s="3">
        <f>SUM(B2:B4) + SUM(C2:C4) + SUM(SUM(D3:D4),SUM(D5:D6))</f>
        <v>4186</v>
      </c>
      <c r="F3" s="3">
        <f>SUM(SUM(SUM(B2:B3),SUM(B4:B7)), SUM(D2:D3))</f>
        <v>1355</v>
      </c>
      <c r="I3" t="s">
        <v>15</v>
      </c>
      <c r="J3">
        <v>2019</v>
      </c>
      <c r="K3" s="2">
        <v>60</v>
      </c>
      <c r="L3" s="4">
        <v>0.4</v>
      </c>
      <c r="M3" s="3">
        <f t="shared" si="0"/>
        <v>36</v>
      </c>
    </row>
    <row r="4" spans="1:704" x14ac:dyDescent="0.5">
      <c r="A4" t="s">
        <v>6</v>
      </c>
      <c r="B4" s="2">
        <v>3</v>
      </c>
      <c r="C4">
        <v>31</v>
      </c>
      <c r="D4" s="3">
        <f>SUM(B4:C4)</f>
        <v>34</v>
      </c>
      <c r="F4" s="3">
        <f>SUM(B2:B4) + SUM(C2:C4)</f>
        <v>1366</v>
      </c>
      <c r="I4" t="s">
        <v>16</v>
      </c>
      <c r="J4">
        <v>2018</v>
      </c>
      <c r="K4" s="2">
        <v>60</v>
      </c>
      <c r="L4" s="4">
        <v>0.5</v>
      </c>
      <c r="M4" s="3">
        <f t="shared" si="0"/>
        <v>30</v>
      </c>
    </row>
    <row r="5" spans="1:704" x14ac:dyDescent="0.5">
      <c r="A5" t="s">
        <v>7</v>
      </c>
      <c r="B5" s="2">
        <v>2</v>
      </c>
      <c r="C5">
        <v>2555</v>
      </c>
      <c r="D5" s="3">
        <f t="shared" si="1"/>
        <v>2557</v>
      </c>
      <c r="I5" t="s">
        <v>17</v>
      </c>
      <c r="J5">
        <v>2020</v>
      </c>
      <c r="K5" s="2">
        <v>60</v>
      </c>
      <c r="L5" s="4">
        <v>0.7</v>
      </c>
      <c r="M5" s="3">
        <f t="shared" si="0"/>
        <v>18</v>
      </c>
    </row>
    <row r="6" spans="1:704" x14ac:dyDescent="0.5">
      <c r="A6" t="s">
        <v>8</v>
      </c>
      <c r="B6" s="2">
        <v>1</v>
      </c>
      <c r="C6">
        <v>1</v>
      </c>
      <c r="D6" s="3">
        <f t="shared" si="1"/>
        <v>2</v>
      </c>
      <c r="I6" t="s">
        <v>18</v>
      </c>
      <c r="J6">
        <v>2020</v>
      </c>
      <c r="K6" s="2">
        <v>60</v>
      </c>
      <c r="L6" s="4">
        <v>0.1</v>
      </c>
      <c r="M6" s="3">
        <f t="shared" si="0"/>
        <v>54</v>
      </c>
    </row>
    <row r="7" spans="1:704" x14ac:dyDescent="0.5">
      <c r="A7" t="s">
        <v>9</v>
      </c>
      <c r="B7" s="2">
        <v>5</v>
      </c>
      <c r="C7">
        <v>6</v>
      </c>
      <c r="D7" s="3">
        <f t="shared" si="1"/>
        <v>11</v>
      </c>
      <c r="I7" t="s">
        <v>19</v>
      </c>
      <c r="J7">
        <v>2017</v>
      </c>
      <c r="K7" s="2">
        <v>60</v>
      </c>
      <c r="L7" s="4">
        <v>0.8</v>
      </c>
      <c r="M7" s="3">
        <f t="shared" si="0"/>
        <v>12</v>
      </c>
    </row>
    <row r="8" spans="1:704" x14ac:dyDescent="0.5">
      <c r="I8" t="s">
        <v>20</v>
      </c>
      <c r="J8">
        <v>2018</v>
      </c>
      <c r="K8" s="2">
        <v>60</v>
      </c>
      <c r="L8" s="4">
        <v>0.35</v>
      </c>
      <c r="M8" s="3">
        <f t="shared" si="0"/>
        <v>39</v>
      </c>
    </row>
    <row r="87" spans="87:87" x14ac:dyDescent="0.5">
      <c r="CI87" t="s">
        <v>28</v>
      </c>
    </row>
  </sheetData>
  <pageMargins left="0.7" right="0.7" top="0.75" bottom="0.75" header="0.3" footer="0.3"/>
  <pageSetup paperSize="9" orientation="portrait" r:id="rId1"/>
  <drawing r:id="rId2"/>
  <legacyDrawing r:id="rId3"/>
  <tableParts count="1">
    <tablePart r:id="rId4"/>
  </tableParts>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2"/>
  <dimension ref="A1:N7"/>
  <sheetViews>
    <sheetView workbookViewId="0">
      <selection activeCell="F12" sqref="F12"/>
    </sheetView>
  </sheetViews>
  <sheetFormatPr defaultRowHeight="16.5" x14ac:dyDescent="0.5"/>
  <cols>
    <col min="14" max="14" width="9.26953125" bestFit="1" customWidth="1"/>
  </cols>
  <sheetData>
    <row r="1" spans="1:14" x14ac:dyDescent="0.5">
      <c r="A1" t="s">
        <v>0</v>
      </c>
      <c r="B1" t="s">
        <v>21</v>
      </c>
      <c r="C1" t="s">
        <v>22</v>
      </c>
      <c r="D1" t="s">
        <v>23</v>
      </c>
      <c r="F1" t="s">
        <v>24</v>
      </c>
      <c r="G1" t="s">
        <v>24</v>
      </c>
      <c r="M1" t="s">
        <v>26</v>
      </c>
      <c r="N1" t="s">
        <v>25</v>
      </c>
    </row>
    <row r="2" spans="1:14" x14ac:dyDescent="0.5">
      <c r="A2" t="str">
        <f>Sheet1!A2</f>
        <v>Bread</v>
      </c>
      <c r="B2" t="e" cm="1">
        <f t="array" ref="B2">Sheet</f>
        <v>#NAME?</v>
      </c>
      <c r="C2">
        <f>IF((D2 &gt; F2), SUM(D2:D7), SUM(F2:F7))</f>
        <v>230</v>
      </c>
      <c r="D2" s="3">
        <f>Sheet1!B2 * 10</f>
        <v>50</v>
      </c>
      <c r="F2" s="3">
        <f>D2/100</f>
        <v>0.5</v>
      </c>
      <c r="J2" s="3"/>
      <c r="M2">
        <f>SUM(Sheet1!C2:'Sheet1'!C7)</f>
        <v>3913</v>
      </c>
      <c r="N2" s="3">
        <f>SUM(D2:D7)</f>
        <v>230</v>
      </c>
    </row>
    <row r="3" spans="1:14" x14ac:dyDescent="0.5">
      <c r="A3" t="str">
        <f>Sheet1!A3</f>
        <v>Cookies</v>
      </c>
      <c r="B3" t="e" cm="1">
        <f t="array" ref="B3">Sheet</f>
        <v>#NAME?</v>
      </c>
      <c r="C3" t="e">
        <f t="shared" ref="C3:C7" si="0">1/0</f>
        <v>#DIV/0!</v>
      </c>
      <c r="D3" s="3">
        <f>Sheet1!B3 * 10</f>
        <v>70</v>
      </c>
      <c r="F3" s="3">
        <f t="shared" ref="F3:F7" si="1">D3/100</f>
        <v>0.7</v>
      </c>
      <c r="J3" s="3"/>
    </row>
    <row r="4" spans="1:14" x14ac:dyDescent="0.5">
      <c r="A4" t="str">
        <f>Sheet1!A4</f>
        <v>Chocolate</v>
      </c>
      <c r="B4" t="e" cm="1">
        <f t="array" ref="B4">Sheet</f>
        <v>#NAME?</v>
      </c>
      <c r="C4" t="e">
        <f t="shared" si="0"/>
        <v>#DIV/0!</v>
      </c>
      <c r="D4" s="3">
        <f>Sheet1!B4 * 10</f>
        <v>30</v>
      </c>
      <c r="F4" s="3">
        <f t="shared" si="1"/>
        <v>0.3</v>
      </c>
      <c r="J4" s="3"/>
    </row>
    <row r="5" spans="1:14" x14ac:dyDescent="0.5">
      <c r="A5" t="str">
        <f>Sheet1!A5</f>
        <v>Sugar</v>
      </c>
      <c r="B5" t="e" cm="1">
        <f t="array" ref="B5">Sheet</f>
        <v>#NAME?</v>
      </c>
      <c r="C5" t="e">
        <f t="shared" si="0"/>
        <v>#DIV/0!</v>
      </c>
      <c r="D5" s="3">
        <f>Sheet1!B5 * 10</f>
        <v>20</v>
      </c>
      <c r="F5" s="3">
        <f t="shared" si="1"/>
        <v>0.2</v>
      </c>
      <c r="J5" s="3"/>
    </row>
    <row r="6" spans="1:14" x14ac:dyDescent="0.5">
      <c r="A6" t="str">
        <f>Sheet1!A6</f>
        <v>Egg</v>
      </c>
      <c r="B6" t="e" cm="1">
        <f t="array" ref="B6">Sheet</f>
        <v>#NAME?</v>
      </c>
      <c r="C6" t="e">
        <f t="shared" si="0"/>
        <v>#DIV/0!</v>
      </c>
      <c r="D6" s="3">
        <f>Sheet1!B6 * 10</f>
        <v>10</v>
      </c>
      <c r="F6" s="3">
        <f t="shared" si="1"/>
        <v>0.1</v>
      </c>
      <c r="J6" s="3"/>
    </row>
    <row r="7" spans="1:14" x14ac:dyDescent="0.5">
      <c r="A7" t="str">
        <f>Sheet1!A7</f>
        <v>Ketchup</v>
      </c>
      <c r="B7" t="e" cm="1">
        <f t="array" ref="B7">Sheet</f>
        <v>#NAME?</v>
      </c>
      <c r="C7" t="e">
        <f t="shared" si="0"/>
        <v>#DIV/0!</v>
      </c>
      <c r="D7" s="3">
        <f>Sheet1!B7 * 10</f>
        <v>50</v>
      </c>
      <c r="F7" s="3">
        <f t="shared" si="1"/>
        <v>0.5</v>
      </c>
      <c r="J7" s="3"/>
    </row>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2</vt:i4>
      </vt:variant>
    </vt:vector>
  </HeadingPairs>
  <TitlesOfParts>
    <vt:vector size="2" baseType="lpstr">
      <vt:lpstr>Sheet1</vt:lpstr>
      <vt:lpstr>Sheet2</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43676</dc:creator>
  <cp:lastModifiedBy>43676</cp:lastModifiedBy>
  <dcterms:created xsi:type="dcterms:W3CDTF">2020-09-30T15:03:27Z</dcterms:created>
  <dcterms:modified xsi:type="dcterms:W3CDTF">2021-05-03T11:17:08Z</dcterms:modified>
</cp:coreProperties>
</file>